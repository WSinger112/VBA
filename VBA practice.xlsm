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60" windowWidth="18195" windowHeight="7590"/>
  </bookViews>
  <sheets>
    <sheet name="Transactions" sheetId="2" r:id="rId1"/>
    <sheet name="Balances" sheetId="3" r:id="rId2"/>
    <sheet name="Transaction Log" sheetId="4" r:id="rId3"/>
    <sheet name="DataGen" sheetId="1" r:id="rId4"/>
    <sheet name="Sheet3" sheetId="6" r:id="rId5"/>
  </sheets>
  <calcPr calcId="145621"/>
</workbook>
</file>

<file path=xl/calcChain.xml><?xml version="1.0" encoding="utf-8"?>
<calcChain xmlns="http://schemas.openxmlformats.org/spreadsheetml/2006/main">
  <c r="F8" i="2" l="1"/>
  <c r="E8" i="2"/>
  <c r="D8" i="2"/>
  <c r="P13" i="1" l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8" i="1"/>
  <c r="P9" i="1"/>
  <c r="P10" i="1"/>
  <c r="P11" i="1"/>
  <c r="P12" i="1"/>
  <c r="P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7" i="1"/>
  <c r="Q7" i="1" s="1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8" i="4"/>
  <c r="C9" i="4"/>
  <c r="C7" i="4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Q105" i="1" l="1"/>
  <c r="R105" i="1" s="1"/>
  <c r="Q101" i="1"/>
  <c r="R101" i="1" s="1"/>
  <c r="Q97" i="1"/>
  <c r="R97" i="1" s="1"/>
  <c r="Q93" i="1"/>
  <c r="R93" i="1" s="1"/>
  <c r="Q89" i="1"/>
  <c r="R89" i="1" s="1"/>
  <c r="Q85" i="1"/>
  <c r="R85" i="1" s="1"/>
  <c r="Q81" i="1"/>
  <c r="R81" i="1" s="1"/>
  <c r="Q77" i="1"/>
  <c r="R77" i="1" s="1"/>
  <c r="Q73" i="1"/>
  <c r="R73" i="1" s="1"/>
  <c r="Q69" i="1"/>
  <c r="R69" i="1" s="1"/>
  <c r="Q65" i="1"/>
  <c r="R65" i="1" s="1"/>
  <c r="Q61" i="1"/>
  <c r="R61" i="1" s="1"/>
  <c r="Q57" i="1"/>
  <c r="R57" i="1" s="1"/>
  <c r="Q53" i="1"/>
  <c r="R53" i="1" s="1"/>
  <c r="Q49" i="1"/>
  <c r="R49" i="1" s="1"/>
  <c r="Q45" i="1"/>
  <c r="R45" i="1" s="1"/>
  <c r="Q41" i="1"/>
  <c r="R41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103" i="1"/>
  <c r="Q99" i="1"/>
  <c r="R99" i="1" s="1"/>
  <c r="Q95" i="1"/>
  <c r="R95" i="1" s="1"/>
  <c r="Q91" i="1"/>
  <c r="R91" i="1" s="1"/>
  <c r="Q87" i="1"/>
  <c r="R87" i="1" s="1"/>
  <c r="Q83" i="1"/>
  <c r="R83" i="1" s="1"/>
  <c r="Q79" i="1"/>
  <c r="R79" i="1" s="1"/>
  <c r="Q75" i="1"/>
  <c r="R75" i="1" s="1"/>
  <c r="Q71" i="1"/>
  <c r="R71" i="1" s="1"/>
  <c r="Q67" i="1"/>
  <c r="R67" i="1" s="1"/>
  <c r="Q63" i="1"/>
  <c r="R63" i="1" s="1"/>
  <c r="Q59" i="1"/>
  <c r="R59" i="1" s="1"/>
  <c r="Q55" i="1"/>
  <c r="R55" i="1" s="1"/>
  <c r="Q51" i="1"/>
  <c r="R51" i="1" s="1"/>
  <c r="Q47" i="1"/>
  <c r="R47" i="1" s="1"/>
  <c r="Q43" i="1"/>
  <c r="R43" i="1" s="1"/>
  <c r="Q39" i="1"/>
  <c r="R39" i="1" s="1"/>
  <c r="Q35" i="1"/>
  <c r="R35" i="1" s="1"/>
  <c r="Q31" i="1"/>
  <c r="R31" i="1" s="1"/>
  <c r="Q27" i="1"/>
  <c r="R27" i="1" s="1"/>
  <c r="Q23" i="1"/>
  <c r="R23" i="1" s="1"/>
  <c r="Q19" i="1"/>
  <c r="R19" i="1" s="1"/>
  <c r="Q15" i="1"/>
  <c r="R15" i="1" s="1"/>
  <c r="Q11" i="1"/>
  <c r="R11" i="1" s="1"/>
  <c r="Q28" i="1"/>
  <c r="R28" i="1" s="1"/>
  <c r="Q24" i="1"/>
  <c r="R24" i="1" s="1"/>
  <c r="Q20" i="1"/>
  <c r="R20" i="1" s="1"/>
  <c r="Q16" i="1"/>
  <c r="R16" i="1" s="1"/>
  <c r="R103" i="1"/>
  <c r="Q106" i="1"/>
  <c r="R106" i="1" s="1"/>
  <c r="Q102" i="1"/>
  <c r="R102" i="1" s="1"/>
  <c r="Q98" i="1"/>
  <c r="R98" i="1" s="1"/>
  <c r="Q94" i="1"/>
  <c r="R94" i="1" s="1"/>
  <c r="Q90" i="1"/>
  <c r="R90" i="1" s="1"/>
  <c r="Q86" i="1"/>
  <c r="R86" i="1" s="1"/>
  <c r="Q82" i="1"/>
  <c r="R82" i="1" s="1"/>
  <c r="Q78" i="1"/>
  <c r="R78" i="1" s="1"/>
  <c r="Q74" i="1"/>
  <c r="R74" i="1" s="1"/>
  <c r="Q70" i="1"/>
  <c r="R70" i="1" s="1"/>
  <c r="Q66" i="1"/>
  <c r="R66" i="1" s="1"/>
  <c r="Q62" i="1"/>
  <c r="R62" i="1" s="1"/>
  <c r="Q58" i="1"/>
  <c r="R58" i="1" s="1"/>
  <c r="Q54" i="1"/>
  <c r="R54" i="1" s="1"/>
  <c r="Q50" i="1"/>
  <c r="R50" i="1" s="1"/>
  <c r="Q46" i="1"/>
  <c r="R46" i="1" s="1"/>
  <c r="Q42" i="1"/>
  <c r="R42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R7" i="1"/>
  <c r="Q9" i="1"/>
  <c r="R9" i="1" s="1"/>
  <c r="Q104" i="1"/>
  <c r="R104" i="1" s="1"/>
  <c r="Q100" i="1"/>
  <c r="R100" i="1" s="1"/>
  <c r="Q96" i="1"/>
  <c r="R96" i="1" s="1"/>
  <c r="Q92" i="1"/>
  <c r="R92" i="1" s="1"/>
  <c r="Q88" i="1"/>
  <c r="R88" i="1" s="1"/>
  <c r="Q84" i="1"/>
  <c r="R84" i="1" s="1"/>
  <c r="Q80" i="1"/>
  <c r="R80" i="1" s="1"/>
  <c r="Q76" i="1"/>
  <c r="R76" i="1" s="1"/>
  <c r="Q72" i="1"/>
  <c r="R72" i="1" s="1"/>
  <c r="Q68" i="1"/>
  <c r="R68" i="1" s="1"/>
  <c r="Q64" i="1"/>
  <c r="R64" i="1" s="1"/>
  <c r="Q60" i="1"/>
  <c r="R60" i="1" s="1"/>
  <c r="Q56" i="1"/>
  <c r="R56" i="1" s="1"/>
  <c r="Q52" i="1"/>
  <c r="R52" i="1" s="1"/>
  <c r="Q48" i="1"/>
  <c r="R48" i="1" s="1"/>
  <c r="Q44" i="1"/>
  <c r="R44" i="1" s="1"/>
  <c r="Q40" i="1"/>
  <c r="R40" i="1" s="1"/>
  <c r="Q36" i="1"/>
  <c r="R36" i="1" s="1"/>
  <c r="Q32" i="1"/>
  <c r="R32" i="1" s="1"/>
  <c r="Q12" i="1"/>
  <c r="R12" i="1" s="1"/>
  <c r="Q8" i="1"/>
  <c r="R8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7" i="1"/>
  <c r="L8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7" i="1"/>
  <c r="K7" i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E7" i="1"/>
  <c r="D7" i="1" l="1"/>
  <c r="H7" i="1" s="1"/>
  <c r="G7" i="1" s="1"/>
  <c r="N106" i="1"/>
  <c r="N102" i="1"/>
  <c r="N98" i="1"/>
  <c r="N94" i="1"/>
  <c r="N90" i="1"/>
  <c r="N86" i="1"/>
  <c r="N82" i="1"/>
  <c r="N78" i="1"/>
  <c r="N74" i="1"/>
  <c r="N70" i="1"/>
  <c r="N66" i="1"/>
  <c r="N62" i="1"/>
  <c r="N58" i="1"/>
  <c r="N54" i="1"/>
  <c r="N50" i="1"/>
  <c r="N46" i="1"/>
  <c r="N42" i="1"/>
  <c r="N38" i="1"/>
  <c r="N34" i="1"/>
  <c r="N30" i="1"/>
  <c r="N26" i="1"/>
  <c r="N22" i="1"/>
  <c r="N18" i="1"/>
  <c r="N14" i="1"/>
  <c r="N10" i="1"/>
  <c r="N105" i="1"/>
  <c r="N101" i="1"/>
  <c r="N97" i="1"/>
  <c r="N93" i="1"/>
  <c r="N89" i="1"/>
  <c r="N85" i="1"/>
  <c r="N81" i="1"/>
  <c r="N77" i="1"/>
  <c r="N73" i="1"/>
  <c r="N69" i="1"/>
  <c r="N65" i="1"/>
  <c r="N61" i="1"/>
  <c r="N57" i="1"/>
  <c r="N53" i="1"/>
  <c r="N49" i="1"/>
  <c r="N45" i="1"/>
  <c r="N41" i="1"/>
  <c r="N37" i="1"/>
  <c r="N33" i="1"/>
  <c r="N29" i="1"/>
  <c r="N25" i="1"/>
  <c r="N21" i="1"/>
  <c r="N17" i="1"/>
  <c r="N13" i="1"/>
  <c r="N9" i="1"/>
  <c r="N104" i="1"/>
  <c r="N100" i="1"/>
  <c r="N96" i="1"/>
  <c r="N92" i="1"/>
  <c r="N88" i="1"/>
  <c r="N84" i="1"/>
  <c r="N80" i="1"/>
  <c r="N76" i="1"/>
  <c r="N72" i="1"/>
  <c r="N68" i="1"/>
  <c r="N64" i="1"/>
  <c r="N60" i="1"/>
  <c r="N56" i="1"/>
  <c r="N52" i="1"/>
  <c r="N48" i="1"/>
  <c r="N44" i="1"/>
  <c r="N40" i="1"/>
  <c r="N36" i="1"/>
  <c r="N32" i="1"/>
  <c r="N28" i="1"/>
  <c r="N24" i="1"/>
  <c r="N20" i="1"/>
  <c r="N16" i="1"/>
  <c r="N12" i="1"/>
  <c r="N8" i="1"/>
  <c r="N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N43" i="1"/>
  <c r="N39" i="1"/>
  <c r="N35" i="1"/>
  <c r="N31" i="1"/>
  <c r="N27" i="1"/>
  <c r="N23" i="1"/>
  <c r="N19" i="1"/>
  <c r="N15" i="1"/>
  <c r="N11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F7" i="1" l="1"/>
  <c r="D14" i="1"/>
  <c r="H14" i="1" s="1"/>
  <c r="G14" i="1" s="1"/>
  <c r="D16" i="1"/>
  <c r="H16" i="1" s="1"/>
  <c r="G16" i="1" s="1"/>
  <c r="D55" i="1"/>
  <c r="H55" i="1" s="1"/>
  <c r="G55" i="1" s="1"/>
  <c r="D48" i="1"/>
  <c r="H48" i="1" s="1"/>
  <c r="G48" i="1" s="1"/>
  <c r="D39" i="1"/>
  <c r="H39" i="1" s="1"/>
  <c r="G39" i="1" s="1"/>
  <c r="D10" i="1"/>
  <c r="H10" i="1" s="1"/>
  <c r="G10" i="1" s="1"/>
  <c r="D13" i="1"/>
  <c r="H13" i="1" s="1"/>
  <c r="G13" i="1" s="1"/>
  <c r="D9" i="1"/>
  <c r="H9" i="1" s="1"/>
  <c r="G9" i="1" s="1"/>
  <c r="D12" i="1"/>
  <c r="H12" i="1" s="1"/>
  <c r="G12" i="1" s="1"/>
  <c r="D8" i="1"/>
  <c r="H8" i="1" s="1"/>
  <c r="G8" i="1" s="1"/>
  <c r="D11" i="1"/>
  <c r="H11" i="1" s="1"/>
  <c r="G11" i="1" s="1"/>
  <c r="D123" i="1"/>
  <c r="H123" i="1" s="1"/>
  <c r="G123" i="1" s="1"/>
  <c r="D119" i="1"/>
  <c r="H119" i="1" s="1"/>
  <c r="G119" i="1" s="1"/>
  <c r="D111" i="1"/>
  <c r="H111" i="1" s="1"/>
  <c r="G111" i="1" s="1"/>
  <c r="D103" i="1"/>
  <c r="H103" i="1" s="1"/>
  <c r="G103" i="1" s="1"/>
  <c r="D95" i="1"/>
  <c r="H95" i="1" s="1"/>
  <c r="G95" i="1" s="1"/>
  <c r="D87" i="1"/>
  <c r="H87" i="1" s="1"/>
  <c r="G87" i="1" s="1"/>
  <c r="D79" i="1"/>
  <c r="H79" i="1" s="1"/>
  <c r="G79" i="1" s="1"/>
  <c r="D67" i="1"/>
  <c r="H67" i="1" s="1"/>
  <c r="G67" i="1" s="1"/>
  <c r="D51" i="1"/>
  <c r="H51" i="1" s="1"/>
  <c r="G51" i="1" s="1"/>
  <c r="D47" i="1"/>
  <c r="H47" i="1" s="1"/>
  <c r="G47" i="1" s="1"/>
  <c r="D43" i="1"/>
  <c r="H43" i="1" s="1"/>
  <c r="G43" i="1" s="1"/>
  <c r="D35" i="1"/>
  <c r="H35" i="1" s="1"/>
  <c r="G35" i="1" s="1"/>
  <c r="D19" i="1"/>
  <c r="H19" i="1" s="1"/>
  <c r="G19" i="1" s="1"/>
  <c r="D23" i="1"/>
  <c r="H23" i="1" s="1"/>
  <c r="G23" i="1" s="1"/>
  <c r="D126" i="1"/>
  <c r="H126" i="1" s="1"/>
  <c r="G126" i="1" s="1"/>
  <c r="D122" i="1"/>
  <c r="H122" i="1" s="1"/>
  <c r="G122" i="1" s="1"/>
  <c r="D118" i="1"/>
  <c r="H118" i="1" s="1"/>
  <c r="G118" i="1" s="1"/>
  <c r="D114" i="1"/>
  <c r="H114" i="1" s="1"/>
  <c r="G114" i="1" s="1"/>
  <c r="D110" i="1"/>
  <c r="H110" i="1" s="1"/>
  <c r="G110" i="1" s="1"/>
  <c r="D106" i="1"/>
  <c r="H106" i="1" s="1"/>
  <c r="G106" i="1" s="1"/>
  <c r="D102" i="1"/>
  <c r="H102" i="1" s="1"/>
  <c r="G102" i="1" s="1"/>
  <c r="D98" i="1"/>
  <c r="H98" i="1" s="1"/>
  <c r="G98" i="1" s="1"/>
  <c r="D94" i="1"/>
  <c r="H94" i="1" s="1"/>
  <c r="G94" i="1" s="1"/>
  <c r="D90" i="1"/>
  <c r="H90" i="1" s="1"/>
  <c r="G90" i="1" s="1"/>
  <c r="D86" i="1"/>
  <c r="H86" i="1" s="1"/>
  <c r="G86" i="1" s="1"/>
  <c r="D82" i="1"/>
  <c r="H82" i="1" s="1"/>
  <c r="G82" i="1" s="1"/>
  <c r="D78" i="1"/>
  <c r="H78" i="1" s="1"/>
  <c r="G78" i="1" s="1"/>
  <c r="D74" i="1"/>
  <c r="H74" i="1" s="1"/>
  <c r="G74" i="1" s="1"/>
  <c r="D70" i="1"/>
  <c r="H70" i="1" s="1"/>
  <c r="G70" i="1" s="1"/>
  <c r="D66" i="1"/>
  <c r="H66" i="1" s="1"/>
  <c r="G66" i="1" s="1"/>
  <c r="D62" i="1"/>
  <c r="H62" i="1" s="1"/>
  <c r="G62" i="1" s="1"/>
  <c r="D58" i="1"/>
  <c r="H58" i="1" s="1"/>
  <c r="G58" i="1" s="1"/>
  <c r="D54" i="1"/>
  <c r="H54" i="1" s="1"/>
  <c r="G54" i="1" s="1"/>
  <c r="D50" i="1"/>
  <c r="H50" i="1" s="1"/>
  <c r="G50" i="1" s="1"/>
  <c r="D46" i="1"/>
  <c r="H46" i="1" s="1"/>
  <c r="G46" i="1" s="1"/>
  <c r="D42" i="1"/>
  <c r="H42" i="1" s="1"/>
  <c r="G42" i="1" s="1"/>
  <c r="D38" i="1"/>
  <c r="H38" i="1" s="1"/>
  <c r="G38" i="1" s="1"/>
  <c r="D34" i="1"/>
  <c r="H34" i="1" s="1"/>
  <c r="G34" i="1" s="1"/>
  <c r="D30" i="1"/>
  <c r="H30" i="1" s="1"/>
  <c r="G30" i="1" s="1"/>
  <c r="D26" i="1"/>
  <c r="H26" i="1" s="1"/>
  <c r="G26" i="1" s="1"/>
  <c r="D22" i="1"/>
  <c r="H22" i="1" s="1"/>
  <c r="G22" i="1" s="1"/>
  <c r="D18" i="1"/>
  <c r="H18" i="1" s="1"/>
  <c r="G18" i="1" s="1"/>
  <c r="D125" i="1"/>
  <c r="H125" i="1" s="1"/>
  <c r="G125" i="1" s="1"/>
  <c r="D121" i="1"/>
  <c r="H121" i="1" s="1"/>
  <c r="G121" i="1" s="1"/>
  <c r="D117" i="1"/>
  <c r="H117" i="1" s="1"/>
  <c r="G117" i="1" s="1"/>
  <c r="D113" i="1"/>
  <c r="H113" i="1" s="1"/>
  <c r="G113" i="1" s="1"/>
  <c r="D109" i="1"/>
  <c r="H109" i="1" s="1"/>
  <c r="G109" i="1" s="1"/>
  <c r="D105" i="1"/>
  <c r="H105" i="1" s="1"/>
  <c r="G105" i="1" s="1"/>
  <c r="D101" i="1"/>
  <c r="H101" i="1" s="1"/>
  <c r="G101" i="1" s="1"/>
  <c r="D97" i="1"/>
  <c r="H97" i="1" s="1"/>
  <c r="G97" i="1" s="1"/>
  <c r="D93" i="1"/>
  <c r="H93" i="1" s="1"/>
  <c r="G93" i="1" s="1"/>
  <c r="D89" i="1"/>
  <c r="H89" i="1" s="1"/>
  <c r="G89" i="1" s="1"/>
  <c r="D85" i="1"/>
  <c r="H85" i="1" s="1"/>
  <c r="G85" i="1" s="1"/>
  <c r="D81" i="1"/>
  <c r="H81" i="1" s="1"/>
  <c r="G81" i="1" s="1"/>
  <c r="D77" i="1"/>
  <c r="H77" i="1" s="1"/>
  <c r="G77" i="1" s="1"/>
  <c r="D73" i="1"/>
  <c r="H73" i="1" s="1"/>
  <c r="G73" i="1" s="1"/>
  <c r="D69" i="1"/>
  <c r="H69" i="1" s="1"/>
  <c r="G69" i="1" s="1"/>
  <c r="D65" i="1"/>
  <c r="H65" i="1" s="1"/>
  <c r="G65" i="1" s="1"/>
  <c r="D61" i="1"/>
  <c r="H61" i="1" s="1"/>
  <c r="G61" i="1" s="1"/>
  <c r="D57" i="1"/>
  <c r="H57" i="1" s="1"/>
  <c r="G57" i="1" s="1"/>
  <c r="D53" i="1"/>
  <c r="H53" i="1" s="1"/>
  <c r="G53" i="1" s="1"/>
  <c r="D49" i="1"/>
  <c r="H49" i="1" s="1"/>
  <c r="G49" i="1" s="1"/>
  <c r="D45" i="1"/>
  <c r="H45" i="1" s="1"/>
  <c r="G45" i="1" s="1"/>
  <c r="D41" i="1"/>
  <c r="H41" i="1" s="1"/>
  <c r="G41" i="1" s="1"/>
  <c r="D37" i="1"/>
  <c r="H37" i="1" s="1"/>
  <c r="G37" i="1" s="1"/>
  <c r="D33" i="1"/>
  <c r="H33" i="1" s="1"/>
  <c r="G33" i="1" s="1"/>
  <c r="D29" i="1"/>
  <c r="H29" i="1" s="1"/>
  <c r="G29" i="1" s="1"/>
  <c r="D25" i="1"/>
  <c r="H25" i="1" s="1"/>
  <c r="G25" i="1" s="1"/>
  <c r="D21" i="1"/>
  <c r="H21" i="1" s="1"/>
  <c r="G21" i="1" s="1"/>
  <c r="D17" i="1"/>
  <c r="H17" i="1" s="1"/>
  <c r="G17" i="1" s="1"/>
  <c r="D128" i="1"/>
  <c r="H128" i="1" s="1"/>
  <c r="G128" i="1" s="1"/>
  <c r="D124" i="1"/>
  <c r="H124" i="1" s="1"/>
  <c r="G124" i="1" s="1"/>
  <c r="D120" i="1"/>
  <c r="H120" i="1" s="1"/>
  <c r="G120" i="1" s="1"/>
  <c r="D116" i="1"/>
  <c r="H116" i="1" s="1"/>
  <c r="G116" i="1" s="1"/>
  <c r="D112" i="1"/>
  <c r="H112" i="1" s="1"/>
  <c r="G112" i="1" s="1"/>
  <c r="D108" i="1"/>
  <c r="H108" i="1" s="1"/>
  <c r="G108" i="1" s="1"/>
  <c r="D104" i="1"/>
  <c r="H104" i="1" s="1"/>
  <c r="G104" i="1" s="1"/>
  <c r="D100" i="1"/>
  <c r="H100" i="1" s="1"/>
  <c r="G100" i="1" s="1"/>
  <c r="D96" i="1"/>
  <c r="H96" i="1" s="1"/>
  <c r="G96" i="1" s="1"/>
  <c r="D92" i="1"/>
  <c r="H92" i="1" s="1"/>
  <c r="G92" i="1" s="1"/>
  <c r="D88" i="1"/>
  <c r="H88" i="1" s="1"/>
  <c r="G88" i="1" s="1"/>
  <c r="D84" i="1"/>
  <c r="H84" i="1" s="1"/>
  <c r="G84" i="1" s="1"/>
  <c r="D80" i="1"/>
  <c r="H80" i="1" s="1"/>
  <c r="G80" i="1" s="1"/>
  <c r="D76" i="1"/>
  <c r="H76" i="1" s="1"/>
  <c r="G76" i="1" s="1"/>
  <c r="D72" i="1"/>
  <c r="H72" i="1" s="1"/>
  <c r="G72" i="1" s="1"/>
  <c r="D68" i="1"/>
  <c r="H68" i="1" s="1"/>
  <c r="G68" i="1" s="1"/>
  <c r="D64" i="1"/>
  <c r="H64" i="1" s="1"/>
  <c r="G64" i="1" s="1"/>
  <c r="D60" i="1"/>
  <c r="H60" i="1" s="1"/>
  <c r="G60" i="1" s="1"/>
  <c r="D56" i="1"/>
  <c r="H56" i="1" s="1"/>
  <c r="G56" i="1" s="1"/>
  <c r="D52" i="1"/>
  <c r="H52" i="1" s="1"/>
  <c r="G52" i="1" s="1"/>
  <c r="D44" i="1"/>
  <c r="H44" i="1" s="1"/>
  <c r="G44" i="1" s="1"/>
  <c r="D40" i="1"/>
  <c r="H40" i="1" s="1"/>
  <c r="G40" i="1" s="1"/>
  <c r="D36" i="1"/>
  <c r="H36" i="1" s="1"/>
  <c r="G36" i="1" s="1"/>
  <c r="D32" i="1"/>
  <c r="H32" i="1" s="1"/>
  <c r="G32" i="1" s="1"/>
  <c r="D28" i="1"/>
  <c r="H28" i="1" s="1"/>
  <c r="G28" i="1" s="1"/>
  <c r="D24" i="1"/>
  <c r="H24" i="1" s="1"/>
  <c r="G24" i="1" s="1"/>
  <c r="D20" i="1"/>
  <c r="H20" i="1" s="1"/>
  <c r="G20" i="1" s="1"/>
  <c r="D127" i="1"/>
  <c r="H127" i="1" s="1"/>
  <c r="G127" i="1" s="1"/>
  <c r="D115" i="1"/>
  <c r="H115" i="1" s="1"/>
  <c r="G115" i="1" s="1"/>
  <c r="D107" i="1"/>
  <c r="H107" i="1" s="1"/>
  <c r="G107" i="1" s="1"/>
  <c r="D99" i="1"/>
  <c r="H99" i="1" s="1"/>
  <c r="G99" i="1" s="1"/>
  <c r="D91" i="1"/>
  <c r="H91" i="1" s="1"/>
  <c r="G91" i="1" s="1"/>
  <c r="D83" i="1"/>
  <c r="H83" i="1" s="1"/>
  <c r="G83" i="1" s="1"/>
  <c r="D75" i="1"/>
  <c r="H75" i="1" s="1"/>
  <c r="G75" i="1" s="1"/>
  <c r="D71" i="1"/>
  <c r="H71" i="1" s="1"/>
  <c r="G71" i="1" s="1"/>
  <c r="D63" i="1"/>
  <c r="H63" i="1" s="1"/>
  <c r="G63" i="1" s="1"/>
  <c r="D59" i="1"/>
  <c r="H59" i="1" s="1"/>
  <c r="G59" i="1" s="1"/>
  <c r="D31" i="1"/>
  <c r="H31" i="1" s="1"/>
  <c r="G31" i="1" s="1"/>
  <c r="D27" i="1"/>
  <c r="H27" i="1" s="1"/>
  <c r="G27" i="1" s="1"/>
  <c r="D15" i="1"/>
  <c r="H15" i="1" s="1"/>
  <c r="G15" i="1" s="1"/>
  <c r="F21" i="1" l="1"/>
  <c r="F75" i="1"/>
  <c r="F55" i="1"/>
  <c r="F128" i="1"/>
  <c r="F59" i="1"/>
  <c r="F99" i="1"/>
  <c r="F10" i="1"/>
  <c r="F24" i="1"/>
  <c r="F15" i="1"/>
  <c r="F124" i="1"/>
  <c r="F13" i="1"/>
  <c r="F30" i="1"/>
  <c r="F20" i="1"/>
  <c r="F66" i="1"/>
  <c r="F78" i="1"/>
  <c r="F93" i="1"/>
  <c r="F94" i="1"/>
  <c r="F71" i="1"/>
  <c r="F91" i="1"/>
  <c r="F104" i="1"/>
  <c r="F29" i="1"/>
  <c r="F41" i="1"/>
  <c r="F126" i="1"/>
  <c r="F35" i="1"/>
  <c r="F118" i="1"/>
  <c r="F32" i="1"/>
  <c r="F64" i="1"/>
  <c r="F62" i="1"/>
  <c r="F70" i="1"/>
  <c r="F102" i="1"/>
  <c r="F42" i="1"/>
  <c r="F86" i="1"/>
  <c r="F125" i="1"/>
  <c r="F26" i="1"/>
  <c r="F34" i="1"/>
  <c r="F58" i="1"/>
  <c r="F74" i="1"/>
  <c r="F82" i="1"/>
  <c r="F90" i="1"/>
  <c r="F98" i="1"/>
  <c r="F87" i="1"/>
  <c r="F17" i="1"/>
  <c r="F69" i="1"/>
  <c r="F81" i="1"/>
  <c r="F121" i="1"/>
  <c r="F50" i="1"/>
  <c r="F47" i="1"/>
  <c r="F44" i="1"/>
  <c r="F72" i="1"/>
  <c r="F119" i="1"/>
  <c r="F63" i="1"/>
  <c r="F40" i="1"/>
  <c r="F120" i="1"/>
  <c r="F77" i="1"/>
  <c r="F97" i="1"/>
  <c r="F109" i="1"/>
  <c r="F18" i="1"/>
  <c r="F46" i="1"/>
  <c r="F114" i="1"/>
  <c r="F122" i="1"/>
  <c r="F12" i="1"/>
  <c r="F23" i="1"/>
  <c r="F110" i="1"/>
  <c r="F9" i="1"/>
  <c r="F51" i="1"/>
  <c r="F103" i="1"/>
  <c r="F31" i="1"/>
  <c r="F107" i="1"/>
  <c r="F127" i="1"/>
  <c r="F52" i="1"/>
  <c r="F60" i="1"/>
  <c r="F68" i="1"/>
  <c r="F76" i="1"/>
  <c r="F84" i="1"/>
  <c r="F92" i="1"/>
  <c r="F100" i="1"/>
  <c r="F108" i="1"/>
  <c r="F116" i="1"/>
  <c r="F25" i="1"/>
  <c r="F33" i="1"/>
  <c r="F49" i="1"/>
  <c r="F57" i="1"/>
  <c r="F65" i="1"/>
  <c r="F73" i="1"/>
  <c r="F89" i="1"/>
  <c r="F105" i="1"/>
  <c r="F113" i="1"/>
  <c r="F106" i="1"/>
  <c r="F67" i="1"/>
  <c r="F11" i="1"/>
  <c r="F48" i="1"/>
  <c r="F27" i="1"/>
  <c r="F83" i="1"/>
  <c r="F115" i="1"/>
  <c r="F28" i="1"/>
  <c r="F36" i="1"/>
  <c r="F56" i="1"/>
  <c r="F80" i="1"/>
  <c r="F88" i="1"/>
  <c r="F96" i="1"/>
  <c r="F112" i="1"/>
  <c r="F37" i="1"/>
  <c r="F45" i="1"/>
  <c r="F53" i="1"/>
  <c r="F61" i="1"/>
  <c r="F85" i="1"/>
  <c r="F101" i="1"/>
  <c r="F117" i="1"/>
  <c r="F22" i="1"/>
  <c r="F38" i="1"/>
  <c r="F54" i="1"/>
  <c r="F19" i="1"/>
  <c r="F43" i="1"/>
  <c r="F79" i="1"/>
  <c r="F95" i="1"/>
  <c r="F111" i="1"/>
  <c r="F123" i="1"/>
  <c r="F8" i="1"/>
  <c r="F16" i="1"/>
  <c r="F14" i="1"/>
  <c r="F39" i="1"/>
</calcChain>
</file>

<file path=xl/sharedStrings.xml><?xml version="1.0" encoding="utf-8"?>
<sst xmlns="http://schemas.openxmlformats.org/spreadsheetml/2006/main" count="61" uniqueCount="31">
  <si>
    <t>Member Number</t>
  </si>
  <si>
    <t>Transaction Number</t>
  </si>
  <si>
    <t>Transaction Type</t>
  </si>
  <si>
    <t>Transaction Code</t>
  </si>
  <si>
    <t>Amount</t>
  </si>
  <si>
    <t>Account</t>
  </si>
  <si>
    <t>AccNum</t>
  </si>
  <si>
    <t>Post Balance</t>
  </si>
  <si>
    <t>Checking</t>
  </si>
  <si>
    <t>Savings</t>
  </si>
  <si>
    <t>Loan</t>
  </si>
  <si>
    <t>Starting Balances</t>
  </si>
  <si>
    <t>Transaction Log</t>
  </si>
  <si>
    <t>Pre Balance</t>
  </si>
  <si>
    <t>Change</t>
  </si>
  <si>
    <t>Primary Branch</t>
  </si>
  <si>
    <t>Deposit</t>
  </si>
  <si>
    <t>Withdrawal</t>
  </si>
  <si>
    <t>Payment</t>
  </si>
  <si>
    <t>Balances</t>
  </si>
  <si>
    <t>Process Transaction</t>
  </si>
  <si>
    <t>Member number</t>
  </si>
  <si>
    <t>Final Balances</t>
  </si>
  <si>
    <t>Current Balances</t>
  </si>
  <si>
    <t>Branch</t>
  </si>
  <si>
    <t>Original Loan</t>
  </si>
  <si>
    <t>Loan Term</t>
  </si>
  <si>
    <t>Monthly Payment</t>
  </si>
  <si>
    <t>Loan Information</t>
  </si>
  <si>
    <t>Current Balance</t>
  </si>
  <si>
    <t>Transaction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</si>
</sst>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 vertical="center" wrapText="1"/>
    </xf>
    <xf numFmtId="0" fontId="0" fillId="2" borderId="1" xfId="0" applyFill="1" applyBorder="1"/>
    <xf numFmtId="164" fontId="0" fillId="2" borderId="1" xfId="0" applyNumberFormat="1" applyFill="1" applyBorder="1"/>
    <xf numFmtId="44" fontId="0" fillId="0" borderId="0" xfId="1" applyFont="1"/>
    <xf numFmtId="0" fontId="0" fillId="3" borderId="2" xfId="0" applyFill="1" applyBorder="1" applyAlignment="1">
      <alignment horizontal="center" vertical="center" wrapText="1"/>
    </xf>
    <xf numFmtId="44" fontId="0" fillId="2" borderId="1" xfId="1" applyFont="1" applyFill="1" applyBorder="1"/>
    <xf numFmtId="0" fontId="0" fillId="3" borderId="6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44" fontId="0" fillId="0" borderId="0" xfId="1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0" xfId="0" applyFill="1" applyBorder="1" applyAlignment="1">
      <alignment horizontal="center" vertical="center"/>
    </xf>
    <xf numFmtId="44" fontId="0" fillId="0" borderId="0" xfId="0" applyNumberFormat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44" fontId="0" fillId="4" borderId="1" xfId="0" applyNumberFormat="1" applyFill="1" applyBorder="1"/>
    <xf numFmtId="0" fontId="0" fillId="2" borderId="1" xfId="1" applyNumberFormat="1" applyFont="1" applyFill="1" applyBorder="1"/>
    <xf numFmtId="44" fontId="0" fillId="2" borderId="1" xfId="0" applyNumberFormat="1" applyFill="1" applyBorder="1"/>
    <xf numFmtId="44" fontId="0" fillId="4" borderId="10" xfId="1" applyFont="1" applyFill="1" applyBorder="1" applyAlignment="1">
      <alignment horizontal="center"/>
    </xf>
    <xf numFmtId="44" fontId="0" fillId="4" borderId="1" xfId="1" applyFont="1" applyFill="1" applyBorder="1" applyAlignment="1">
      <alignment horizontal="center"/>
    </xf>
    <xf numFmtId="44" fontId="0" fillId="4" borderId="11" xfId="1" applyFont="1" applyFill="1" applyBorder="1" applyAlignment="1">
      <alignment horizontal="center"/>
    </xf>
    <xf numFmtId="7" fontId="0" fillId="4" borderId="0" xfId="0" applyNumberFormat="1" applyFill="1"/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180975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11</xdr:row>
          <xdr:rowOff>161925</xdr:rowOff>
        </xdr:from>
        <xdr:to>
          <xdr:col>2</xdr:col>
          <xdr:colOff>790575</xdr:colOff>
          <xdr:row>13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0</xdr:rowOff>
        </xdr:from>
        <xdr:to>
          <xdr:col>4</xdr:col>
          <xdr:colOff>9525</xdr:colOff>
          <xdr:row>11</xdr:row>
          <xdr:rowOff>238125</xdr:rowOff>
        </xdr:to>
        <xdr:sp macro="" textlink="">
          <xdr:nvSpPr>
            <xdr:cNvPr id="1041" name="Combo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12</xdr:row>
          <xdr:rowOff>9525</xdr:rowOff>
        </xdr:from>
        <xdr:to>
          <xdr:col>6</xdr:col>
          <xdr:colOff>9525</xdr:colOff>
          <xdr:row>14</xdr:row>
          <xdr:rowOff>66675</xdr:rowOff>
        </xdr:to>
        <xdr:sp macro="" textlink="">
          <xdr:nvSpPr>
            <xdr:cNvPr id="1048" name="CommandButton2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161925</xdr:rowOff>
        </xdr:from>
        <xdr:to>
          <xdr:col>6</xdr:col>
          <xdr:colOff>476250</xdr:colOff>
          <xdr:row>12</xdr:row>
          <xdr:rowOff>38100</xdr:rowOff>
        </xdr:to>
        <xdr:sp macro="" textlink="">
          <xdr:nvSpPr>
            <xdr:cNvPr id="2049" name="CommandButton2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3:H28"/>
  <sheetViews>
    <sheetView tabSelected="1" workbookViewId="0">
      <selection activeCell="H8" sqref="H8"/>
    </sheetView>
  </sheetViews>
  <sheetFormatPr defaultRowHeight="15" x14ac:dyDescent="0.25"/>
  <cols>
    <col min="1" max="2" width="9.140625" style="23"/>
    <col min="3" max="3" width="17.28515625" style="23" customWidth="1"/>
    <col min="4" max="6" width="14.42578125" style="23" customWidth="1"/>
    <col min="7" max="7" width="9.140625" style="23"/>
    <col min="8" max="8" width="12.140625" style="23" customWidth="1"/>
    <col min="9" max="9" width="12.28515625" style="23" customWidth="1"/>
    <col min="10" max="16384" width="9.140625" style="23"/>
  </cols>
  <sheetData>
    <row r="3" spans="4:8" ht="15.75" thickBot="1" x14ac:dyDescent="0.3"/>
    <row r="4" spans="4:8" s="24" customFormat="1" ht="33.75" customHeight="1" x14ac:dyDescent="0.25">
      <c r="D4" s="25" t="s">
        <v>0</v>
      </c>
      <c r="E4" s="26">
        <v>15</v>
      </c>
      <c r="F4" s="27"/>
    </row>
    <row r="5" spans="4:8" x14ac:dyDescent="0.25">
      <c r="D5" s="39"/>
      <c r="E5" s="40"/>
      <c r="F5" s="41"/>
    </row>
    <row r="6" spans="4:8" x14ac:dyDescent="0.25">
      <c r="D6" s="42" t="s">
        <v>19</v>
      </c>
      <c r="E6" s="43"/>
      <c r="F6" s="44"/>
    </row>
    <row r="7" spans="4:8" x14ac:dyDescent="0.25">
      <c r="D7" s="18" t="s">
        <v>8</v>
      </c>
      <c r="E7" s="19" t="s">
        <v>9</v>
      </c>
      <c r="F7" s="20" t="s">
        <v>10</v>
      </c>
    </row>
    <row r="8" spans="4:8" x14ac:dyDescent="0.25">
      <c r="D8" s="35">
        <f>VLOOKUP(E4,Balances!C5:G104,3)</f>
        <v>4231</v>
      </c>
      <c r="E8" s="36">
        <f>VLOOKUP(E4,Balances!C5:G104,4)</f>
        <v>102859</v>
      </c>
      <c r="F8" s="37">
        <f>VLOOKUP(E4,Balances!C5:G104,5)</f>
        <v>34642</v>
      </c>
      <c r="G8" s="38"/>
      <c r="H8" s="38">
        <v>33642</v>
      </c>
    </row>
    <row r="9" spans="4:8" x14ac:dyDescent="0.25">
      <c r="D9" s="39"/>
      <c r="E9" s="40"/>
      <c r="F9" s="41"/>
    </row>
    <row r="10" spans="4:8" x14ac:dyDescent="0.25">
      <c r="D10" s="42" t="s">
        <v>20</v>
      </c>
      <c r="E10" s="43"/>
      <c r="F10" s="44"/>
      <c r="H10" s="38"/>
    </row>
    <row r="11" spans="4:8" s="28" customFormat="1" ht="36" customHeight="1" x14ac:dyDescent="0.25">
      <c r="D11" s="29" t="s">
        <v>5</v>
      </c>
      <c r="E11" s="30" t="s">
        <v>2</v>
      </c>
      <c r="F11" s="31" t="s">
        <v>4</v>
      </c>
    </row>
    <row r="12" spans="4:8" ht="19.5" customHeight="1" thickBot="1" x14ac:dyDescent="0.3">
      <c r="D12" s="15"/>
      <c r="E12" s="16" t="s">
        <v>18</v>
      </c>
      <c r="F12" s="17">
        <v>1000</v>
      </c>
    </row>
    <row r="18" spans="4:6" ht="15.75" thickBot="1" x14ac:dyDescent="0.3"/>
    <row r="19" spans="4:6" x14ac:dyDescent="0.25">
      <c r="D19" s="48"/>
      <c r="E19" s="49"/>
      <c r="F19" s="50"/>
    </row>
    <row r="20" spans="4:6" x14ac:dyDescent="0.25">
      <c r="D20" s="51"/>
      <c r="E20" s="52"/>
      <c r="F20" s="53"/>
    </row>
    <row r="21" spans="4:6" x14ac:dyDescent="0.25">
      <c r="D21" s="45"/>
      <c r="E21" s="46"/>
      <c r="F21" s="47"/>
    </row>
    <row r="22" spans="4:6" x14ac:dyDescent="0.25">
      <c r="D22" s="51" t="s">
        <v>21</v>
      </c>
      <c r="E22" s="52"/>
      <c r="F22" s="13"/>
    </row>
    <row r="23" spans="4:6" x14ac:dyDescent="0.25">
      <c r="D23" s="42" t="s">
        <v>2</v>
      </c>
      <c r="E23" s="43"/>
      <c r="F23" s="14"/>
    </row>
    <row r="24" spans="4:6" x14ac:dyDescent="0.25">
      <c r="D24" s="42"/>
      <c r="E24" s="43"/>
      <c r="F24" s="14"/>
    </row>
    <row r="25" spans="4:6" x14ac:dyDescent="0.25">
      <c r="D25" s="42"/>
      <c r="E25" s="43"/>
      <c r="F25" s="44"/>
    </row>
    <row r="26" spans="4:6" x14ac:dyDescent="0.25">
      <c r="D26" s="42" t="s">
        <v>22</v>
      </c>
      <c r="E26" s="43"/>
      <c r="F26" s="44"/>
    </row>
    <row r="27" spans="4:6" x14ac:dyDescent="0.25">
      <c r="D27" s="21" t="s">
        <v>8</v>
      </c>
      <c r="E27" s="11" t="s">
        <v>9</v>
      </c>
      <c r="F27" s="13" t="s">
        <v>10</v>
      </c>
    </row>
    <row r="28" spans="4:6" ht="15.75" thickBot="1" x14ac:dyDescent="0.3">
      <c r="D28" s="15"/>
      <c r="E28" s="16"/>
      <c r="F28" s="17"/>
    </row>
  </sheetData>
  <mergeCells count="11">
    <mergeCell ref="D5:F5"/>
    <mergeCell ref="D23:E23"/>
    <mergeCell ref="D24:E24"/>
    <mergeCell ref="D26:F26"/>
    <mergeCell ref="D25:F25"/>
    <mergeCell ref="D21:F21"/>
    <mergeCell ref="D6:F6"/>
    <mergeCell ref="D10:F10"/>
    <mergeCell ref="D19:F20"/>
    <mergeCell ref="D22:E22"/>
    <mergeCell ref="D9:F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ommandButton2">
          <controlPr defaultSize="0" autoLine="0" r:id="rId5">
            <anchor moveWithCells="1">
              <from>
                <xdr:col>2</xdr:col>
                <xdr:colOff>1133475</xdr:colOff>
                <xdr:row>12</xdr:row>
                <xdr:rowOff>9525</xdr:rowOff>
              </from>
              <to>
                <xdr:col>6</xdr:col>
                <xdr:colOff>9525</xdr:colOff>
                <xdr:row>14</xdr:row>
                <xdr:rowOff>66675</xdr:rowOff>
              </to>
            </anchor>
          </controlPr>
        </control>
      </mc:Choice>
      <mc:Fallback>
        <control shapeId="1048" r:id="rId4" name="CommandButton2"/>
      </mc:Fallback>
    </mc:AlternateContent>
    <mc:AlternateContent xmlns:mc="http://schemas.openxmlformats.org/markup-compatibility/2006">
      <mc:Choice Requires="x14">
        <control shapeId="1041" r:id="rId6" name="ComboBox1">
          <controlPr defaultSize="0" autoLine="0" r:id="rId7">
            <anchor moveWithCells="1">
              <from>
                <xdr:col>3</xdr:col>
                <xdr:colOff>9525</xdr:colOff>
                <xdr:row>11</xdr:row>
                <xdr:rowOff>0</xdr:rowOff>
              </from>
              <to>
                <xdr:col>4</xdr:col>
                <xdr:colOff>9525</xdr:colOff>
                <xdr:row>11</xdr:row>
                <xdr:rowOff>238125</xdr:rowOff>
              </to>
            </anchor>
          </controlPr>
        </control>
      </mc:Choice>
      <mc:Fallback>
        <control shapeId="1041" r:id="rId6" name="ComboBox1"/>
      </mc:Fallback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GetInfo">
            <anchor moveWithCells="1" sizeWithCells="1">
              <from>
                <xdr:col>5</xdr:col>
                <xdr:colOff>0</xdr:colOff>
                <xdr:row>2</xdr:row>
                <xdr:rowOff>180975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_xludf.Clear">
            <anchor moveWithCells="1" sizeWithCells="1">
              <from>
                <xdr:col>0</xdr:col>
                <xdr:colOff>295275</xdr:colOff>
                <xdr:row>11</xdr:row>
                <xdr:rowOff>161925</xdr:rowOff>
              </from>
              <to>
                <xdr:col>2</xdr:col>
                <xdr:colOff>790575</xdr:colOff>
                <xdr:row>13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DataGen!$D$1:$D$1</xm:f>
          </x14:formula1>
          <xm:sqref>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G104"/>
  <sheetViews>
    <sheetView workbookViewId="0">
      <selection activeCell="G15" sqref="G15"/>
    </sheetView>
  </sheetViews>
  <sheetFormatPr defaultRowHeight="15" x14ac:dyDescent="0.25"/>
  <cols>
    <col min="1" max="2" width="9.140625" style="23"/>
    <col min="3" max="7" width="12.42578125" style="23" customWidth="1"/>
    <col min="8" max="16384" width="9.140625" style="23"/>
  </cols>
  <sheetData>
    <row r="2" spans="3:7" x14ac:dyDescent="0.25">
      <c r="C2" s="52" t="s">
        <v>23</v>
      </c>
      <c r="D2" s="52"/>
      <c r="E2" s="52"/>
      <c r="F2" s="52"/>
      <c r="G2" s="52"/>
    </row>
    <row r="3" spans="3:7" x14ac:dyDescent="0.25">
      <c r="C3" s="52"/>
      <c r="D3" s="52"/>
      <c r="E3" s="52"/>
      <c r="F3" s="52"/>
      <c r="G3" s="52"/>
    </row>
    <row r="4" spans="3:7" s="28" customFormat="1" ht="32.25" customHeight="1" x14ac:dyDescent="0.25">
      <c r="C4" s="30" t="s">
        <v>0</v>
      </c>
      <c r="D4" s="30" t="s">
        <v>15</v>
      </c>
      <c r="E4" s="30" t="s">
        <v>8</v>
      </c>
      <c r="F4" s="30" t="s">
        <v>9</v>
      </c>
      <c r="G4" s="30" t="s">
        <v>10</v>
      </c>
    </row>
    <row r="5" spans="3:7" x14ac:dyDescent="0.25">
      <c r="C5" s="12">
        <v>1</v>
      </c>
      <c r="D5" s="12">
        <v>1</v>
      </c>
      <c r="E5" s="32">
        <v>7586</v>
      </c>
      <c r="F5" s="32">
        <v>93907</v>
      </c>
      <c r="G5" s="32">
        <v>46814</v>
      </c>
    </row>
    <row r="6" spans="3:7" x14ac:dyDescent="0.25">
      <c r="C6" s="12">
        <v>2</v>
      </c>
      <c r="D6" s="12">
        <v>3</v>
      </c>
      <c r="E6" s="32">
        <v>9230</v>
      </c>
      <c r="F6" s="32">
        <v>74174</v>
      </c>
      <c r="G6" s="32">
        <v>8370</v>
      </c>
    </row>
    <row r="7" spans="3:7" x14ac:dyDescent="0.25">
      <c r="C7" s="12">
        <v>3</v>
      </c>
      <c r="D7" s="12">
        <v>1</v>
      </c>
      <c r="E7" s="32">
        <v>485</v>
      </c>
      <c r="F7" s="32">
        <v>84608</v>
      </c>
      <c r="G7" s="32">
        <v>48643</v>
      </c>
    </row>
    <row r="8" spans="3:7" x14ac:dyDescent="0.25">
      <c r="C8" s="12">
        <v>4</v>
      </c>
      <c r="D8" s="12">
        <v>3</v>
      </c>
      <c r="E8" s="32">
        <v>7795</v>
      </c>
      <c r="F8" s="32">
        <v>102174</v>
      </c>
      <c r="G8" s="32">
        <v>10582</v>
      </c>
    </row>
    <row r="9" spans="3:7" x14ac:dyDescent="0.25">
      <c r="C9" s="12">
        <v>5</v>
      </c>
      <c r="D9" s="12">
        <v>2</v>
      </c>
      <c r="E9" s="32">
        <v>4772</v>
      </c>
      <c r="F9" s="32">
        <v>98146</v>
      </c>
      <c r="G9" s="32">
        <v>27785</v>
      </c>
    </row>
    <row r="10" spans="3:7" x14ac:dyDescent="0.25">
      <c r="C10" s="12">
        <v>6</v>
      </c>
      <c r="D10" s="12">
        <v>5</v>
      </c>
      <c r="E10" s="32">
        <v>1033</v>
      </c>
      <c r="F10" s="32">
        <v>169194</v>
      </c>
      <c r="G10" s="32">
        <v>18689</v>
      </c>
    </row>
    <row r="11" spans="3:7" x14ac:dyDescent="0.25">
      <c r="C11" s="12">
        <v>7</v>
      </c>
      <c r="D11" s="12">
        <v>1</v>
      </c>
      <c r="E11" s="32">
        <v>7812</v>
      </c>
      <c r="F11" s="32">
        <v>87730</v>
      </c>
      <c r="G11" s="32">
        <v>37345</v>
      </c>
    </row>
    <row r="12" spans="3:7" x14ac:dyDescent="0.25">
      <c r="C12" s="12">
        <v>8</v>
      </c>
      <c r="D12" s="12">
        <v>3</v>
      </c>
      <c r="E12" s="32">
        <v>3160</v>
      </c>
      <c r="F12" s="32">
        <v>96736</v>
      </c>
      <c r="G12" s="32">
        <v>33994</v>
      </c>
    </row>
    <row r="13" spans="3:7" x14ac:dyDescent="0.25">
      <c r="C13" s="12">
        <v>9</v>
      </c>
      <c r="D13" s="12">
        <v>1</v>
      </c>
      <c r="E13" s="32">
        <v>9399</v>
      </c>
      <c r="F13" s="32">
        <v>82513</v>
      </c>
      <c r="G13" s="32">
        <v>3292</v>
      </c>
    </row>
    <row r="14" spans="3:7" x14ac:dyDescent="0.25">
      <c r="C14" s="12">
        <v>10</v>
      </c>
      <c r="D14" s="12">
        <v>1</v>
      </c>
      <c r="E14" s="32">
        <v>7466</v>
      </c>
      <c r="F14" s="32">
        <v>51866</v>
      </c>
      <c r="G14" s="32">
        <v>21823</v>
      </c>
    </row>
    <row r="15" spans="3:7" x14ac:dyDescent="0.25">
      <c r="C15" s="12">
        <v>11</v>
      </c>
      <c r="D15" s="12">
        <v>2</v>
      </c>
      <c r="E15" s="32">
        <v>5087</v>
      </c>
      <c r="F15" s="32">
        <v>92128</v>
      </c>
      <c r="G15" s="32">
        <v>2022</v>
      </c>
    </row>
    <row r="16" spans="3:7" x14ac:dyDescent="0.25">
      <c r="C16" s="12">
        <v>12</v>
      </c>
      <c r="D16" s="12">
        <v>1</v>
      </c>
      <c r="E16" s="32">
        <v>2275</v>
      </c>
      <c r="F16" s="32">
        <v>85099</v>
      </c>
      <c r="G16" s="32">
        <v>10061</v>
      </c>
    </row>
    <row r="17" spans="3:7" x14ac:dyDescent="0.25">
      <c r="C17" s="12">
        <v>13</v>
      </c>
      <c r="D17" s="12">
        <v>4</v>
      </c>
      <c r="E17" s="32">
        <v>1282</v>
      </c>
      <c r="F17" s="32">
        <v>101265</v>
      </c>
      <c r="G17" s="32">
        <v>32712</v>
      </c>
    </row>
    <row r="18" spans="3:7" x14ac:dyDescent="0.25">
      <c r="C18" s="12">
        <v>14</v>
      </c>
      <c r="D18" s="12">
        <v>1</v>
      </c>
      <c r="E18" s="32">
        <v>5505</v>
      </c>
      <c r="F18" s="32">
        <v>130193</v>
      </c>
      <c r="G18" s="32">
        <v>31848</v>
      </c>
    </row>
    <row r="19" spans="3:7" x14ac:dyDescent="0.25">
      <c r="C19" s="12">
        <v>15</v>
      </c>
      <c r="D19" s="12">
        <v>1</v>
      </c>
      <c r="E19" s="32">
        <v>4231</v>
      </c>
      <c r="F19" s="32">
        <v>102859</v>
      </c>
      <c r="G19" s="32">
        <v>34642</v>
      </c>
    </row>
    <row r="20" spans="3:7" x14ac:dyDescent="0.25">
      <c r="C20" s="12">
        <v>16</v>
      </c>
      <c r="D20" s="12">
        <v>5</v>
      </c>
      <c r="E20" s="32">
        <v>2481</v>
      </c>
      <c r="F20" s="32">
        <v>175818</v>
      </c>
      <c r="G20" s="32">
        <v>30455</v>
      </c>
    </row>
    <row r="21" spans="3:7" x14ac:dyDescent="0.25">
      <c r="C21" s="12">
        <v>17</v>
      </c>
      <c r="D21" s="12">
        <v>3</v>
      </c>
      <c r="E21" s="32">
        <v>335</v>
      </c>
      <c r="F21" s="32">
        <v>26097</v>
      </c>
      <c r="G21" s="32">
        <v>20349</v>
      </c>
    </row>
    <row r="22" spans="3:7" x14ac:dyDescent="0.25">
      <c r="C22" s="12">
        <v>18</v>
      </c>
      <c r="D22" s="12">
        <v>1</v>
      </c>
      <c r="E22" s="32">
        <v>5700</v>
      </c>
      <c r="F22" s="32">
        <v>105415</v>
      </c>
      <c r="G22" s="32">
        <v>24925</v>
      </c>
    </row>
    <row r="23" spans="3:7" x14ac:dyDescent="0.25">
      <c r="C23" s="12">
        <v>19</v>
      </c>
      <c r="D23" s="12">
        <v>2</v>
      </c>
      <c r="E23" s="32">
        <v>9311</v>
      </c>
      <c r="F23" s="32">
        <v>82296</v>
      </c>
      <c r="G23" s="32">
        <v>25113</v>
      </c>
    </row>
    <row r="24" spans="3:7" x14ac:dyDescent="0.25">
      <c r="C24" s="12">
        <v>20</v>
      </c>
      <c r="D24" s="12">
        <v>3</v>
      </c>
      <c r="E24" s="32">
        <v>3230</v>
      </c>
      <c r="F24" s="32">
        <v>68865</v>
      </c>
      <c r="G24" s="32">
        <v>18847</v>
      </c>
    </row>
    <row r="25" spans="3:7" x14ac:dyDescent="0.25">
      <c r="C25" s="12">
        <v>21</v>
      </c>
      <c r="D25" s="12">
        <v>4</v>
      </c>
      <c r="E25" s="32">
        <v>8063</v>
      </c>
      <c r="F25" s="32">
        <v>137157</v>
      </c>
      <c r="G25" s="32">
        <v>11009</v>
      </c>
    </row>
    <row r="26" spans="3:7" x14ac:dyDescent="0.25">
      <c r="C26" s="12">
        <v>22</v>
      </c>
      <c r="D26" s="12">
        <v>4</v>
      </c>
      <c r="E26" s="32">
        <v>8534</v>
      </c>
      <c r="F26" s="32">
        <v>102803</v>
      </c>
      <c r="G26" s="32">
        <v>10387</v>
      </c>
    </row>
    <row r="27" spans="3:7" x14ac:dyDescent="0.25">
      <c r="C27" s="12">
        <v>23</v>
      </c>
      <c r="D27" s="12">
        <v>2</v>
      </c>
      <c r="E27" s="32">
        <v>8825</v>
      </c>
      <c r="F27" s="32">
        <v>159885</v>
      </c>
      <c r="G27" s="32">
        <v>4839</v>
      </c>
    </row>
    <row r="28" spans="3:7" x14ac:dyDescent="0.25">
      <c r="C28" s="12">
        <v>24</v>
      </c>
      <c r="D28" s="12">
        <v>5</v>
      </c>
      <c r="E28" s="32">
        <v>660</v>
      </c>
      <c r="F28" s="32">
        <v>165978</v>
      </c>
      <c r="G28" s="32">
        <v>16201</v>
      </c>
    </row>
    <row r="29" spans="3:7" x14ac:dyDescent="0.25">
      <c r="C29" s="12">
        <v>25</v>
      </c>
      <c r="D29" s="12">
        <v>1</v>
      </c>
      <c r="E29" s="32">
        <v>7380</v>
      </c>
      <c r="F29" s="32">
        <v>51681</v>
      </c>
      <c r="G29" s="32">
        <v>37461</v>
      </c>
    </row>
    <row r="30" spans="3:7" x14ac:dyDescent="0.25">
      <c r="C30" s="12">
        <v>26</v>
      </c>
      <c r="D30" s="12">
        <v>1</v>
      </c>
      <c r="E30" s="32">
        <v>8070</v>
      </c>
      <c r="F30" s="32">
        <v>90460</v>
      </c>
      <c r="G30" s="32">
        <v>23377</v>
      </c>
    </row>
    <row r="31" spans="3:7" x14ac:dyDescent="0.25">
      <c r="C31" s="12">
        <v>27</v>
      </c>
      <c r="D31" s="12">
        <v>4</v>
      </c>
      <c r="E31" s="32">
        <v>9822</v>
      </c>
      <c r="F31" s="32">
        <v>104550</v>
      </c>
      <c r="G31" s="32">
        <v>2750</v>
      </c>
    </row>
    <row r="32" spans="3:7" x14ac:dyDescent="0.25">
      <c r="C32" s="12">
        <v>28</v>
      </c>
      <c r="D32" s="12">
        <v>3</v>
      </c>
      <c r="E32" s="32">
        <v>5853</v>
      </c>
      <c r="F32" s="32">
        <v>66101</v>
      </c>
      <c r="G32" s="32">
        <v>18369</v>
      </c>
    </row>
    <row r="33" spans="3:7" x14ac:dyDescent="0.25">
      <c r="C33" s="12">
        <v>29</v>
      </c>
      <c r="D33" s="12">
        <v>3</v>
      </c>
      <c r="E33" s="32">
        <v>8202</v>
      </c>
      <c r="F33" s="32">
        <v>113372</v>
      </c>
      <c r="G33" s="32">
        <v>47761</v>
      </c>
    </row>
    <row r="34" spans="3:7" x14ac:dyDescent="0.25">
      <c r="C34" s="12">
        <v>30</v>
      </c>
      <c r="D34" s="12">
        <v>3</v>
      </c>
      <c r="E34" s="32">
        <v>4406</v>
      </c>
      <c r="F34" s="32">
        <v>102080</v>
      </c>
      <c r="G34" s="32">
        <v>44515</v>
      </c>
    </row>
    <row r="35" spans="3:7" x14ac:dyDescent="0.25">
      <c r="C35" s="12">
        <v>31</v>
      </c>
      <c r="D35" s="12">
        <v>2</v>
      </c>
      <c r="E35" s="32">
        <v>1301</v>
      </c>
      <c r="F35" s="32">
        <v>132120</v>
      </c>
      <c r="G35" s="32">
        <v>8949</v>
      </c>
    </row>
    <row r="36" spans="3:7" x14ac:dyDescent="0.25">
      <c r="C36" s="12">
        <v>32</v>
      </c>
      <c r="D36" s="12">
        <v>4</v>
      </c>
      <c r="E36" s="32">
        <v>941</v>
      </c>
      <c r="F36" s="32">
        <v>109295</v>
      </c>
      <c r="G36" s="32">
        <v>9899</v>
      </c>
    </row>
    <row r="37" spans="3:7" x14ac:dyDescent="0.25">
      <c r="C37" s="12">
        <v>33</v>
      </c>
      <c r="D37" s="12">
        <v>1</v>
      </c>
      <c r="E37" s="32">
        <v>6749</v>
      </c>
      <c r="F37" s="32">
        <v>52865</v>
      </c>
      <c r="G37" s="32">
        <v>4125</v>
      </c>
    </row>
    <row r="38" spans="3:7" x14ac:dyDescent="0.25">
      <c r="C38" s="12">
        <v>34</v>
      </c>
      <c r="D38" s="12">
        <v>5</v>
      </c>
      <c r="E38" s="32">
        <v>6054</v>
      </c>
      <c r="F38" s="32">
        <v>184925</v>
      </c>
      <c r="G38" s="32">
        <v>17773</v>
      </c>
    </row>
    <row r="39" spans="3:7" x14ac:dyDescent="0.25">
      <c r="C39" s="12">
        <v>35</v>
      </c>
      <c r="D39" s="12">
        <v>1</v>
      </c>
      <c r="E39" s="32">
        <v>873</v>
      </c>
      <c r="F39" s="32">
        <v>77817</v>
      </c>
      <c r="G39" s="32">
        <v>37007</v>
      </c>
    </row>
    <row r="40" spans="3:7" x14ac:dyDescent="0.25">
      <c r="C40" s="12">
        <v>36</v>
      </c>
      <c r="D40" s="12">
        <v>5</v>
      </c>
      <c r="E40" s="32">
        <v>103</v>
      </c>
      <c r="F40" s="32">
        <v>162073</v>
      </c>
      <c r="G40" s="32">
        <v>23255</v>
      </c>
    </row>
    <row r="41" spans="3:7" x14ac:dyDescent="0.25">
      <c r="C41" s="12">
        <v>37</v>
      </c>
      <c r="D41" s="12">
        <v>3</v>
      </c>
      <c r="E41" s="32">
        <v>9187</v>
      </c>
      <c r="F41" s="32">
        <v>82605</v>
      </c>
      <c r="G41" s="32">
        <v>35582</v>
      </c>
    </row>
    <row r="42" spans="3:7" x14ac:dyDescent="0.25">
      <c r="C42" s="12">
        <v>38</v>
      </c>
      <c r="D42" s="12">
        <v>3</v>
      </c>
      <c r="E42" s="32">
        <v>4270</v>
      </c>
      <c r="F42" s="32">
        <v>29383</v>
      </c>
      <c r="G42" s="32">
        <v>48964</v>
      </c>
    </row>
    <row r="43" spans="3:7" x14ac:dyDescent="0.25">
      <c r="C43" s="12">
        <v>39</v>
      </c>
      <c r="D43" s="12">
        <v>3</v>
      </c>
      <c r="E43" s="32">
        <v>9263</v>
      </c>
      <c r="F43" s="32">
        <v>86922</v>
      </c>
      <c r="G43" s="32">
        <v>22170</v>
      </c>
    </row>
    <row r="44" spans="3:7" x14ac:dyDescent="0.25">
      <c r="C44" s="12">
        <v>40</v>
      </c>
      <c r="D44" s="12">
        <v>2</v>
      </c>
      <c r="E44" s="32">
        <v>1298</v>
      </c>
      <c r="F44" s="32">
        <v>77584</v>
      </c>
      <c r="G44" s="32">
        <v>26620</v>
      </c>
    </row>
    <row r="45" spans="3:7" x14ac:dyDescent="0.25">
      <c r="C45" s="12">
        <v>41</v>
      </c>
      <c r="D45" s="12">
        <v>5</v>
      </c>
      <c r="E45" s="32">
        <v>475</v>
      </c>
      <c r="F45" s="32">
        <v>199060</v>
      </c>
      <c r="G45" s="32">
        <v>26101</v>
      </c>
    </row>
    <row r="46" spans="3:7" x14ac:dyDescent="0.25">
      <c r="C46" s="12">
        <v>42</v>
      </c>
      <c r="D46" s="12">
        <v>2</v>
      </c>
      <c r="E46" s="32">
        <v>4148</v>
      </c>
      <c r="F46" s="32">
        <v>125778</v>
      </c>
      <c r="G46" s="32">
        <v>22677</v>
      </c>
    </row>
    <row r="47" spans="3:7" x14ac:dyDescent="0.25">
      <c r="C47" s="12">
        <v>43</v>
      </c>
      <c r="D47" s="12">
        <v>2</v>
      </c>
      <c r="E47" s="32">
        <v>9990</v>
      </c>
      <c r="F47" s="32">
        <v>121870</v>
      </c>
      <c r="G47" s="32">
        <v>4385</v>
      </c>
    </row>
    <row r="48" spans="3:7" x14ac:dyDescent="0.25">
      <c r="C48" s="12">
        <v>44</v>
      </c>
      <c r="D48" s="12">
        <v>1</v>
      </c>
      <c r="E48" s="32">
        <v>5690</v>
      </c>
      <c r="F48" s="32">
        <v>126797</v>
      </c>
      <c r="G48" s="32">
        <v>13432</v>
      </c>
    </row>
    <row r="49" spans="3:7" x14ac:dyDescent="0.25">
      <c r="C49" s="12">
        <v>45</v>
      </c>
      <c r="D49" s="12">
        <v>3</v>
      </c>
      <c r="E49" s="32">
        <v>2600</v>
      </c>
      <c r="F49" s="32">
        <v>89760</v>
      </c>
      <c r="G49" s="32">
        <v>12005</v>
      </c>
    </row>
    <row r="50" spans="3:7" x14ac:dyDescent="0.25">
      <c r="C50" s="12">
        <v>46</v>
      </c>
      <c r="D50" s="12">
        <v>1</v>
      </c>
      <c r="E50" s="32">
        <v>7068</v>
      </c>
      <c r="F50" s="32">
        <v>144695</v>
      </c>
      <c r="G50" s="32">
        <v>25183</v>
      </c>
    </row>
    <row r="51" spans="3:7" x14ac:dyDescent="0.25">
      <c r="C51" s="12">
        <v>47</v>
      </c>
      <c r="D51" s="12">
        <v>1</v>
      </c>
      <c r="E51" s="32">
        <v>8087</v>
      </c>
      <c r="F51" s="32">
        <v>109382</v>
      </c>
      <c r="G51" s="32">
        <v>28089</v>
      </c>
    </row>
    <row r="52" spans="3:7" x14ac:dyDescent="0.25">
      <c r="C52" s="12">
        <v>48</v>
      </c>
      <c r="D52" s="12">
        <v>1</v>
      </c>
      <c r="E52" s="32">
        <v>7447</v>
      </c>
      <c r="F52" s="32">
        <v>65730</v>
      </c>
      <c r="G52" s="32">
        <v>27394</v>
      </c>
    </row>
    <row r="53" spans="3:7" x14ac:dyDescent="0.25">
      <c r="C53" s="12">
        <v>49</v>
      </c>
      <c r="D53" s="12">
        <v>5</v>
      </c>
      <c r="E53" s="32">
        <v>2080</v>
      </c>
      <c r="F53" s="32">
        <v>180783</v>
      </c>
      <c r="G53" s="32">
        <v>26119</v>
      </c>
    </row>
    <row r="54" spans="3:7" x14ac:dyDescent="0.25">
      <c r="C54" s="12">
        <v>50</v>
      </c>
      <c r="D54" s="12">
        <v>4</v>
      </c>
      <c r="E54" s="32">
        <v>4604</v>
      </c>
      <c r="F54" s="32">
        <v>112425</v>
      </c>
      <c r="G54" s="32">
        <v>39647</v>
      </c>
    </row>
    <row r="55" spans="3:7" x14ac:dyDescent="0.25">
      <c r="C55" s="12">
        <v>51</v>
      </c>
      <c r="D55" s="12">
        <v>1</v>
      </c>
      <c r="E55" s="32">
        <v>8696</v>
      </c>
      <c r="F55" s="32">
        <v>142413</v>
      </c>
      <c r="G55" s="32">
        <v>28077</v>
      </c>
    </row>
    <row r="56" spans="3:7" x14ac:dyDescent="0.25">
      <c r="C56" s="12">
        <v>52</v>
      </c>
      <c r="D56" s="12">
        <v>2</v>
      </c>
      <c r="E56" s="32">
        <v>5857</v>
      </c>
      <c r="F56" s="32">
        <v>134901</v>
      </c>
      <c r="G56" s="32">
        <v>35232</v>
      </c>
    </row>
    <row r="57" spans="3:7" x14ac:dyDescent="0.25">
      <c r="C57" s="12">
        <v>53</v>
      </c>
      <c r="D57" s="12">
        <v>1</v>
      </c>
      <c r="E57" s="32">
        <v>1990</v>
      </c>
      <c r="F57" s="32">
        <v>96010</v>
      </c>
      <c r="G57" s="32">
        <v>30371</v>
      </c>
    </row>
    <row r="58" spans="3:7" x14ac:dyDescent="0.25">
      <c r="C58" s="12">
        <v>54</v>
      </c>
      <c r="D58" s="12">
        <v>3</v>
      </c>
      <c r="E58" s="32">
        <v>5181</v>
      </c>
      <c r="F58" s="32">
        <v>80806</v>
      </c>
      <c r="G58" s="32">
        <v>28837</v>
      </c>
    </row>
    <row r="59" spans="3:7" x14ac:dyDescent="0.25">
      <c r="C59" s="12">
        <v>55</v>
      </c>
      <c r="D59" s="12">
        <v>1</v>
      </c>
      <c r="E59" s="32">
        <v>7966</v>
      </c>
      <c r="F59" s="32">
        <v>144066</v>
      </c>
      <c r="G59" s="32">
        <v>35150</v>
      </c>
    </row>
    <row r="60" spans="3:7" x14ac:dyDescent="0.25">
      <c r="C60" s="12">
        <v>56</v>
      </c>
      <c r="D60" s="12">
        <v>2</v>
      </c>
      <c r="E60" s="32">
        <v>8692</v>
      </c>
      <c r="F60" s="32">
        <v>105101</v>
      </c>
      <c r="G60" s="32">
        <v>25223</v>
      </c>
    </row>
    <row r="61" spans="3:7" x14ac:dyDescent="0.25">
      <c r="C61" s="12">
        <v>57</v>
      </c>
      <c r="D61" s="12">
        <v>5</v>
      </c>
      <c r="E61" s="32">
        <v>2863</v>
      </c>
      <c r="F61" s="32">
        <v>151692</v>
      </c>
      <c r="G61" s="32">
        <v>31382</v>
      </c>
    </row>
    <row r="62" spans="3:7" x14ac:dyDescent="0.25">
      <c r="C62" s="12">
        <v>58</v>
      </c>
      <c r="D62" s="12">
        <v>2</v>
      </c>
      <c r="E62" s="32">
        <v>2288</v>
      </c>
      <c r="F62" s="32">
        <v>90576</v>
      </c>
      <c r="G62" s="32">
        <v>27798</v>
      </c>
    </row>
    <row r="63" spans="3:7" x14ac:dyDescent="0.25">
      <c r="C63" s="12">
        <v>59</v>
      </c>
      <c r="D63" s="12">
        <v>5</v>
      </c>
      <c r="E63" s="32">
        <v>4541</v>
      </c>
      <c r="F63" s="32">
        <v>184254</v>
      </c>
      <c r="G63" s="32">
        <v>40654</v>
      </c>
    </row>
    <row r="64" spans="3:7" x14ac:dyDescent="0.25">
      <c r="C64" s="12">
        <v>60</v>
      </c>
      <c r="D64" s="12">
        <v>3</v>
      </c>
      <c r="E64" s="32">
        <v>1357</v>
      </c>
      <c r="F64" s="32">
        <v>33024</v>
      </c>
      <c r="G64" s="32">
        <v>47609</v>
      </c>
    </row>
    <row r="65" spans="3:7" x14ac:dyDescent="0.25">
      <c r="C65" s="12">
        <v>61</v>
      </c>
      <c r="D65" s="12">
        <v>5</v>
      </c>
      <c r="E65" s="32">
        <v>5940</v>
      </c>
      <c r="F65" s="32">
        <v>187317</v>
      </c>
      <c r="G65" s="32">
        <v>19459</v>
      </c>
    </row>
    <row r="66" spans="3:7" x14ac:dyDescent="0.25">
      <c r="C66" s="12">
        <v>62</v>
      </c>
      <c r="D66" s="12">
        <v>4</v>
      </c>
      <c r="E66" s="32">
        <v>1807</v>
      </c>
      <c r="F66" s="32">
        <v>106693</v>
      </c>
      <c r="G66" s="32">
        <v>14791</v>
      </c>
    </row>
    <row r="67" spans="3:7" x14ac:dyDescent="0.25">
      <c r="C67" s="12">
        <v>63</v>
      </c>
      <c r="D67" s="12">
        <v>2</v>
      </c>
      <c r="E67" s="32">
        <v>7609</v>
      </c>
      <c r="F67" s="32">
        <v>88599</v>
      </c>
      <c r="G67" s="32">
        <v>48983</v>
      </c>
    </row>
    <row r="68" spans="3:7" x14ac:dyDescent="0.25">
      <c r="C68" s="12">
        <v>64</v>
      </c>
      <c r="D68" s="12">
        <v>1</v>
      </c>
      <c r="E68" s="32">
        <v>9983</v>
      </c>
      <c r="F68" s="32">
        <v>126666</v>
      </c>
      <c r="G68" s="32">
        <v>1119</v>
      </c>
    </row>
    <row r="69" spans="3:7" x14ac:dyDescent="0.25">
      <c r="C69" s="12">
        <v>65</v>
      </c>
      <c r="D69" s="12">
        <v>2</v>
      </c>
      <c r="E69" s="32">
        <v>3481</v>
      </c>
      <c r="F69" s="32">
        <v>168243</v>
      </c>
      <c r="G69" s="32">
        <v>36639</v>
      </c>
    </row>
    <row r="70" spans="3:7" x14ac:dyDescent="0.25">
      <c r="C70" s="12">
        <v>66</v>
      </c>
      <c r="D70" s="12">
        <v>4</v>
      </c>
      <c r="E70" s="32">
        <v>3879</v>
      </c>
      <c r="F70" s="32">
        <v>104604</v>
      </c>
      <c r="G70" s="32">
        <v>49809</v>
      </c>
    </row>
    <row r="71" spans="3:7" x14ac:dyDescent="0.25">
      <c r="C71" s="12">
        <v>67</v>
      </c>
      <c r="D71" s="12">
        <v>3</v>
      </c>
      <c r="E71" s="32">
        <v>8910</v>
      </c>
      <c r="F71" s="32">
        <v>45474</v>
      </c>
      <c r="G71" s="32">
        <v>10721</v>
      </c>
    </row>
    <row r="72" spans="3:7" x14ac:dyDescent="0.25">
      <c r="C72" s="12">
        <v>68</v>
      </c>
      <c r="D72" s="12">
        <v>3</v>
      </c>
      <c r="E72" s="32">
        <v>2195</v>
      </c>
      <c r="F72" s="32">
        <v>70996</v>
      </c>
      <c r="G72" s="32">
        <v>7303</v>
      </c>
    </row>
    <row r="73" spans="3:7" x14ac:dyDescent="0.25">
      <c r="C73" s="12">
        <v>69</v>
      </c>
      <c r="D73" s="12">
        <v>3</v>
      </c>
      <c r="E73" s="32">
        <v>7589</v>
      </c>
      <c r="F73" s="32">
        <v>34498</v>
      </c>
      <c r="G73" s="32">
        <v>21855</v>
      </c>
    </row>
    <row r="74" spans="3:7" x14ac:dyDescent="0.25">
      <c r="C74" s="12">
        <v>70</v>
      </c>
      <c r="D74" s="12">
        <v>5</v>
      </c>
      <c r="E74" s="32">
        <v>999</v>
      </c>
      <c r="F74" s="32">
        <v>188964</v>
      </c>
      <c r="G74" s="32">
        <v>11973</v>
      </c>
    </row>
    <row r="75" spans="3:7" x14ac:dyDescent="0.25">
      <c r="C75" s="12">
        <v>71</v>
      </c>
      <c r="D75" s="12">
        <v>5</v>
      </c>
      <c r="E75" s="32">
        <v>2532</v>
      </c>
      <c r="F75" s="32">
        <v>194138</v>
      </c>
      <c r="G75" s="32">
        <v>11796</v>
      </c>
    </row>
    <row r="76" spans="3:7" x14ac:dyDescent="0.25">
      <c r="C76" s="12">
        <v>72</v>
      </c>
      <c r="D76" s="12">
        <v>5</v>
      </c>
      <c r="E76" s="32">
        <v>7448</v>
      </c>
      <c r="F76" s="32">
        <v>167890</v>
      </c>
      <c r="G76" s="32">
        <v>13637</v>
      </c>
    </row>
    <row r="77" spans="3:7" x14ac:dyDescent="0.25">
      <c r="C77" s="12">
        <v>73</v>
      </c>
      <c r="D77" s="12">
        <v>2</v>
      </c>
      <c r="E77" s="32">
        <v>5567</v>
      </c>
      <c r="F77" s="32">
        <v>134444</v>
      </c>
      <c r="G77" s="32">
        <v>10332</v>
      </c>
    </row>
    <row r="78" spans="3:7" x14ac:dyDescent="0.25">
      <c r="C78" s="12">
        <v>74</v>
      </c>
      <c r="D78" s="12">
        <v>4</v>
      </c>
      <c r="E78" s="32">
        <v>1327</v>
      </c>
      <c r="F78" s="32">
        <v>118788</v>
      </c>
      <c r="G78" s="32">
        <v>26614</v>
      </c>
    </row>
    <row r="79" spans="3:7" x14ac:dyDescent="0.25">
      <c r="C79" s="12">
        <v>75</v>
      </c>
      <c r="D79" s="12">
        <v>4</v>
      </c>
      <c r="E79" s="32">
        <v>2536</v>
      </c>
      <c r="F79" s="32">
        <v>102556</v>
      </c>
      <c r="G79" s="32">
        <v>18944</v>
      </c>
    </row>
    <row r="80" spans="3:7" x14ac:dyDescent="0.25">
      <c r="C80" s="12">
        <v>76</v>
      </c>
      <c r="D80" s="12">
        <v>5</v>
      </c>
      <c r="E80" s="32">
        <v>9541</v>
      </c>
      <c r="F80" s="32">
        <v>176012</v>
      </c>
      <c r="G80" s="32">
        <v>29400</v>
      </c>
    </row>
    <row r="81" spans="3:7" x14ac:dyDescent="0.25">
      <c r="C81" s="12">
        <v>77</v>
      </c>
      <c r="D81" s="12">
        <v>3</v>
      </c>
      <c r="E81" s="32">
        <v>8036</v>
      </c>
      <c r="F81" s="32">
        <v>95474</v>
      </c>
      <c r="G81" s="32">
        <v>37009</v>
      </c>
    </row>
    <row r="82" spans="3:7" x14ac:dyDescent="0.25">
      <c r="C82" s="12">
        <v>78</v>
      </c>
      <c r="D82" s="12">
        <v>4</v>
      </c>
      <c r="E82" s="32">
        <v>7493</v>
      </c>
      <c r="F82" s="32">
        <v>127442</v>
      </c>
      <c r="G82" s="32">
        <v>588</v>
      </c>
    </row>
    <row r="83" spans="3:7" x14ac:dyDescent="0.25">
      <c r="C83" s="12">
        <v>79</v>
      </c>
      <c r="D83" s="12">
        <v>3</v>
      </c>
      <c r="E83" s="32">
        <v>1235</v>
      </c>
      <c r="F83" s="32">
        <v>97247</v>
      </c>
      <c r="G83" s="32">
        <v>36796</v>
      </c>
    </row>
    <row r="84" spans="3:7" x14ac:dyDescent="0.25">
      <c r="C84" s="12">
        <v>80</v>
      </c>
      <c r="D84" s="12">
        <v>5</v>
      </c>
      <c r="E84" s="32">
        <v>8700</v>
      </c>
      <c r="F84" s="32">
        <v>183489</v>
      </c>
      <c r="G84" s="32">
        <v>22573</v>
      </c>
    </row>
    <row r="85" spans="3:7" x14ac:dyDescent="0.25">
      <c r="C85" s="12">
        <v>81</v>
      </c>
      <c r="D85" s="12">
        <v>1</v>
      </c>
      <c r="E85" s="32">
        <v>7631</v>
      </c>
      <c r="F85" s="32">
        <v>145698</v>
      </c>
      <c r="G85" s="32">
        <v>21400</v>
      </c>
    </row>
    <row r="86" spans="3:7" x14ac:dyDescent="0.25">
      <c r="C86" s="12">
        <v>82</v>
      </c>
      <c r="D86" s="12">
        <v>1</v>
      </c>
      <c r="E86" s="32">
        <v>111</v>
      </c>
      <c r="F86" s="32">
        <v>115304</v>
      </c>
      <c r="G86" s="32">
        <v>13022</v>
      </c>
    </row>
    <row r="87" spans="3:7" x14ac:dyDescent="0.25">
      <c r="C87" s="12">
        <v>83</v>
      </c>
      <c r="D87" s="12">
        <v>3</v>
      </c>
      <c r="E87" s="32">
        <v>6678</v>
      </c>
      <c r="F87" s="32">
        <v>63651</v>
      </c>
      <c r="G87" s="32">
        <v>2422</v>
      </c>
    </row>
    <row r="88" spans="3:7" x14ac:dyDescent="0.25">
      <c r="C88" s="12">
        <v>84</v>
      </c>
      <c r="D88" s="12">
        <v>2</v>
      </c>
      <c r="E88" s="32">
        <v>655</v>
      </c>
      <c r="F88" s="32">
        <v>163509</v>
      </c>
      <c r="G88" s="32">
        <v>45758</v>
      </c>
    </row>
    <row r="89" spans="3:7" x14ac:dyDescent="0.25">
      <c r="C89" s="12">
        <v>85</v>
      </c>
      <c r="D89" s="12">
        <v>5</v>
      </c>
      <c r="E89" s="32">
        <v>1248</v>
      </c>
      <c r="F89" s="32">
        <v>194765</v>
      </c>
      <c r="G89" s="32">
        <v>38976</v>
      </c>
    </row>
    <row r="90" spans="3:7" x14ac:dyDescent="0.25">
      <c r="C90" s="12">
        <v>86</v>
      </c>
      <c r="D90" s="12">
        <v>4</v>
      </c>
      <c r="E90" s="32">
        <v>7548</v>
      </c>
      <c r="F90" s="32">
        <v>112552</v>
      </c>
      <c r="G90" s="32">
        <v>28585</v>
      </c>
    </row>
    <row r="91" spans="3:7" x14ac:dyDescent="0.25">
      <c r="C91" s="12">
        <v>87</v>
      </c>
      <c r="D91" s="12">
        <v>1</v>
      </c>
      <c r="E91" s="32">
        <v>8526</v>
      </c>
      <c r="F91" s="32">
        <v>139107</v>
      </c>
      <c r="G91" s="32">
        <v>42304</v>
      </c>
    </row>
    <row r="92" spans="3:7" x14ac:dyDescent="0.25">
      <c r="C92" s="12">
        <v>88</v>
      </c>
      <c r="D92" s="12">
        <v>5</v>
      </c>
      <c r="E92" s="32">
        <v>1836</v>
      </c>
      <c r="F92" s="32">
        <v>198398</v>
      </c>
      <c r="G92" s="32">
        <v>21887</v>
      </c>
    </row>
    <row r="93" spans="3:7" x14ac:dyDescent="0.25">
      <c r="C93" s="12">
        <v>89</v>
      </c>
      <c r="D93" s="12">
        <v>5</v>
      </c>
      <c r="E93" s="32">
        <v>7597</v>
      </c>
      <c r="F93" s="32">
        <v>159370</v>
      </c>
      <c r="G93" s="32">
        <v>2168</v>
      </c>
    </row>
    <row r="94" spans="3:7" x14ac:dyDescent="0.25">
      <c r="C94" s="12">
        <v>90</v>
      </c>
      <c r="D94" s="12">
        <v>1</v>
      </c>
      <c r="E94" s="32">
        <v>1331</v>
      </c>
      <c r="F94" s="32">
        <v>106924</v>
      </c>
      <c r="G94" s="32">
        <v>48980</v>
      </c>
    </row>
    <row r="95" spans="3:7" x14ac:dyDescent="0.25">
      <c r="C95" s="12">
        <v>91</v>
      </c>
      <c r="D95" s="12">
        <v>2</v>
      </c>
      <c r="E95" s="32">
        <v>9065</v>
      </c>
      <c r="F95" s="32">
        <v>120915</v>
      </c>
      <c r="G95" s="32">
        <v>31555</v>
      </c>
    </row>
    <row r="96" spans="3:7" x14ac:dyDescent="0.25">
      <c r="C96" s="12">
        <v>92</v>
      </c>
      <c r="D96" s="12">
        <v>5</v>
      </c>
      <c r="E96" s="32">
        <v>8495</v>
      </c>
      <c r="F96" s="32">
        <v>179827</v>
      </c>
      <c r="G96" s="32">
        <v>16019</v>
      </c>
    </row>
    <row r="97" spans="3:7" x14ac:dyDescent="0.25">
      <c r="C97" s="12">
        <v>93</v>
      </c>
      <c r="D97" s="12">
        <v>1</v>
      </c>
      <c r="E97" s="32">
        <v>5547</v>
      </c>
      <c r="F97" s="32">
        <v>127414</v>
      </c>
      <c r="G97" s="32">
        <v>6368</v>
      </c>
    </row>
    <row r="98" spans="3:7" x14ac:dyDescent="0.25">
      <c r="C98" s="12">
        <v>94</v>
      </c>
      <c r="D98" s="12">
        <v>1</v>
      </c>
      <c r="E98" s="32">
        <v>3740</v>
      </c>
      <c r="F98" s="32">
        <v>56636</v>
      </c>
      <c r="G98" s="32">
        <v>10094</v>
      </c>
    </row>
    <row r="99" spans="3:7" x14ac:dyDescent="0.25">
      <c r="C99" s="12">
        <v>95</v>
      </c>
      <c r="D99" s="12">
        <v>5</v>
      </c>
      <c r="E99" s="32">
        <v>1557</v>
      </c>
      <c r="F99" s="32">
        <v>176873</v>
      </c>
      <c r="G99" s="32">
        <v>26351</v>
      </c>
    </row>
    <row r="100" spans="3:7" x14ac:dyDescent="0.25">
      <c r="C100" s="12">
        <v>96</v>
      </c>
      <c r="D100" s="12">
        <v>1</v>
      </c>
      <c r="E100" s="32">
        <v>396</v>
      </c>
      <c r="F100" s="32">
        <v>62505</v>
      </c>
      <c r="G100" s="32">
        <v>7484</v>
      </c>
    </row>
    <row r="101" spans="3:7" x14ac:dyDescent="0.25">
      <c r="C101" s="12">
        <v>97</v>
      </c>
      <c r="D101" s="12">
        <v>3</v>
      </c>
      <c r="E101" s="32">
        <v>5555</v>
      </c>
      <c r="F101" s="32">
        <v>124852</v>
      </c>
      <c r="G101" s="32">
        <v>34751</v>
      </c>
    </row>
    <row r="102" spans="3:7" x14ac:dyDescent="0.25">
      <c r="C102" s="12">
        <v>98</v>
      </c>
      <c r="D102" s="12">
        <v>2</v>
      </c>
      <c r="E102" s="32">
        <v>9318</v>
      </c>
      <c r="F102" s="32">
        <v>149922</v>
      </c>
      <c r="G102" s="32">
        <v>10934</v>
      </c>
    </row>
    <row r="103" spans="3:7" x14ac:dyDescent="0.25">
      <c r="C103" s="12">
        <v>99</v>
      </c>
      <c r="D103" s="12">
        <v>1</v>
      </c>
      <c r="E103" s="32">
        <v>9544</v>
      </c>
      <c r="F103" s="32">
        <v>53604</v>
      </c>
      <c r="G103" s="32">
        <v>46603</v>
      </c>
    </row>
    <row r="104" spans="3:7" x14ac:dyDescent="0.25">
      <c r="C104" s="12">
        <v>100</v>
      </c>
      <c r="D104" s="12">
        <v>3</v>
      </c>
      <c r="E104" s="32">
        <v>7286</v>
      </c>
      <c r="F104" s="32">
        <v>63231</v>
      </c>
      <c r="G104" s="32">
        <v>26992</v>
      </c>
    </row>
  </sheetData>
  <mergeCells count="1">
    <mergeCell ref="C2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J128"/>
  <sheetViews>
    <sheetView workbookViewId="0">
      <selection activeCell="B10" sqref="B10"/>
    </sheetView>
  </sheetViews>
  <sheetFormatPr defaultRowHeight="15" x14ac:dyDescent="0.25"/>
  <cols>
    <col min="2" max="7" width="11.140625" customWidth="1"/>
    <col min="8" max="10" width="13" customWidth="1"/>
  </cols>
  <sheetData>
    <row r="4" spans="2:10" ht="15.75" thickBot="1" x14ac:dyDescent="0.3"/>
    <row r="5" spans="2:10" ht="15.75" thickBot="1" x14ac:dyDescent="0.3">
      <c r="B5" s="54" t="s">
        <v>12</v>
      </c>
      <c r="C5" s="55"/>
      <c r="D5" s="56"/>
      <c r="E5" s="56"/>
      <c r="F5" s="56"/>
      <c r="G5" s="56"/>
      <c r="H5" s="56"/>
      <c r="I5" s="56"/>
      <c r="J5" s="57"/>
    </row>
    <row r="6" spans="2:10" ht="30" x14ac:dyDescent="0.25">
      <c r="B6" s="5" t="s">
        <v>0</v>
      </c>
      <c r="C6" s="5" t="s">
        <v>24</v>
      </c>
      <c r="D6" s="5" t="s">
        <v>1</v>
      </c>
      <c r="E6" s="5" t="s">
        <v>2</v>
      </c>
      <c r="F6" s="5" t="s">
        <v>4</v>
      </c>
      <c r="G6" s="5" t="s">
        <v>5</v>
      </c>
      <c r="H6" s="5" t="s">
        <v>13</v>
      </c>
      <c r="I6" s="5" t="s">
        <v>14</v>
      </c>
      <c r="J6" s="7" t="s">
        <v>7</v>
      </c>
    </row>
    <row r="7" spans="2:10" x14ac:dyDescent="0.25">
      <c r="B7" s="2"/>
      <c r="C7" s="2" t="e">
        <f>VLOOKUP(B7,Balances!C5:G104,2)</f>
        <v>#N/A</v>
      </c>
      <c r="D7" s="2"/>
      <c r="E7" s="2"/>
      <c r="F7" s="3"/>
      <c r="G7" s="33"/>
      <c r="H7" s="6"/>
      <c r="I7" s="34"/>
      <c r="J7" s="34"/>
    </row>
    <row r="8" spans="2:10" x14ac:dyDescent="0.25">
      <c r="B8" s="2"/>
      <c r="C8" s="2" t="e">
        <f>VLOOKUP(B8,Balances!C6:G105,2)</f>
        <v>#N/A</v>
      </c>
      <c r="D8" s="2"/>
      <c r="E8" s="2"/>
      <c r="F8" s="3"/>
      <c r="G8" s="2"/>
      <c r="H8" s="34"/>
      <c r="I8" s="34"/>
      <c r="J8" s="34"/>
    </row>
    <row r="9" spans="2:10" x14ac:dyDescent="0.25">
      <c r="B9" s="2"/>
      <c r="C9" s="2" t="e">
        <f>VLOOKUP(B9,Balances!C7:G106,2)</f>
        <v>#N/A</v>
      </c>
      <c r="D9" s="2"/>
      <c r="E9" s="2"/>
      <c r="F9" s="3"/>
      <c r="G9" s="2"/>
      <c r="H9" s="34"/>
      <c r="I9" s="34"/>
      <c r="J9" s="34"/>
    </row>
    <row r="10" spans="2:10" x14ac:dyDescent="0.25">
      <c r="B10" s="2"/>
      <c r="C10" s="2" t="e">
        <f>VLOOKUP(B10,Balances!C8:G107,2)</f>
        <v>#N/A</v>
      </c>
      <c r="D10" s="2"/>
      <c r="E10" s="2"/>
      <c r="F10" s="3"/>
      <c r="G10" s="2"/>
      <c r="H10" s="34"/>
      <c r="I10" s="34"/>
      <c r="J10" s="34"/>
    </row>
    <row r="11" spans="2:10" x14ac:dyDescent="0.25">
      <c r="B11" s="2"/>
      <c r="C11" s="2" t="e">
        <f>VLOOKUP(B11,Balances!C9:G108,2)</f>
        <v>#N/A</v>
      </c>
      <c r="D11" s="2"/>
      <c r="E11" s="2"/>
      <c r="F11" s="3"/>
      <c r="G11" s="2"/>
      <c r="H11" s="34"/>
      <c r="I11" s="34"/>
      <c r="J11" s="34"/>
    </row>
    <row r="12" spans="2:10" x14ac:dyDescent="0.25">
      <c r="B12" s="2"/>
      <c r="C12" s="2" t="e">
        <f>VLOOKUP(B12,Balances!C10:G109,2)</f>
        <v>#N/A</v>
      </c>
      <c r="D12" s="2"/>
      <c r="E12" s="2"/>
      <c r="F12" s="3"/>
      <c r="G12" s="2"/>
      <c r="H12" s="34"/>
      <c r="I12" s="34"/>
      <c r="J12" s="34"/>
    </row>
    <row r="13" spans="2:10" x14ac:dyDescent="0.25">
      <c r="B13" s="2"/>
      <c r="C13" s="2" t="e">
        <f>VLOOKUP(B13,Balances!C11:G110,2)</f>
        <v>#N/A</v>
      </c>
      <c r="D13" s="2"/>
      <c r="E13" s="2"/>
      <c r="F13" s="3"/>
      <c r="G13" s="2"/>
      <c r="H13" s="34"/>
      <c r="I13" s="34"/>
      <c r="J13" s="34"/>
    </row>
    <row r="14" spans="2:10" x14ac:dyDescent="0.25">
      <c r="B14" s="2"/>
      <c r="C14" s="2" t="e">
        <f>VLOOKUP(B14,Balances!C12:G111,2)</f>
        <v>#N/A</v>
      </c>
      <c r="D14" s="2"/>
      <c r="E14" s="2"/>
      <c r="F14" s="3"/>
      <c r="G14" s="2"/>
      <c r="H14" s="34"/>
      <c r="I14" s="34"/>
      <c r="J14" s="34"/>
    </row>
    <row r="15" spans="2:10" x14ac:dyDescent="0.25">
      <c r="B15" s="2"/>
      <c r="C15" s="2" t="e">
        <f>VLOOKUP(B15,Balances!C13:G112,2)</f>
        <v>#N/A</v>
      </c>
      <c r="D15" s="2"/>
      <c r="E15" s="2"/>
      <c r="F15" s="3"/>
      <c r="G15" s="2"/>
      <c r="H15" s="34"/>
      <c r="I15" s="34"/>
      <c r="J15" s="34"/>
    </row>
    <row r="16" spans="2:10" x14ac:dyDescent="0.25">
      <c r="B16" s="2"/>
      <c r="C16" s="2" t="e">
        <f>VLOOKUP(B16,Balances!C14:G113,2)</f>
        <v>#N/A</v>
      </c>
      <c r="D16" s="2"/>
      <c r="E16" s="2"/>
      <c r="F16" s="3"/>
      <c r="G16" s="2"/>
      <c r="H16" s="34"/>
      <c r="I16" s="34"/>
      <c r="J16" s="34"/>
    </row>
    <row r="17" spans="2:10" x14ac:dyDescent="0.25">
      <c r="B17" s="2"/>
      <c r="C17" s="2" t="e">
        <f>VLOOKUP(B17,Balances!C15:G114,2)</f>
        <v>#N/A</v>
      </c>
      <c r="D17" s="2"/>
      <c r="E17" s="2"/>
      <c r="F17" s="3"/>
      <c r="G17" s="2"/>
      <c r="H17" s="34"/>
      <c r="I17" s="34"/>
      <c r="J17" s="34"/>
    </row>
    <row r="18" spans="2:10" x14ac:dyDescent="0.25">
      <c r="B18" s="2"/>
      <c r="C18" s="2" t="e">
        <f>VLOOKUP(B18,Balances!C16:G115,2)</f>
        <v>#N/A</v>
      </c>
      <c r="D18" s="2"/>
      <c r="E18" s="2"/>
      <c r="F18" s="3"/>
      <c r="G18" s="2"/>
      <c r="H18" s="34"/>
      <c r="I18" s="34"/>
      <c r="J18" s="34"/>
    </row>
    <row r="19" spans="2:10" x14ac:dyDescent="0.25">
      <c r="B19" s="2"/>
      <c r="C19" s="2" t="e">
        <f>VLOOKUP(B19,Balances!C17:G116,2)</f>
        <v>#N/A</v>
      </c>
      <c r="D19" s="2"/>
      <c r="E19" s="2"/>
      <c r="F19" s="3"/>
      <c r="G19" s="2"/>
      <c r="H19" s="34"/>
      <c r="I19" s="34"/>
      <c r="J19" s="34"/>
    </row>
    <row r="20" spans="2:10" x14ac:dyDescent="0.25">
      <c r="B20" s="2"/>
      <c r="C20" s="2" t="e">
        <f>VLOOKUP(B20,Balances!C18:G117,2)</f>
        <v>#N/A</v>
      </c>
      <c r="D20" s="2"/>
      <c r="E20" s="2"/>
      <c r="F20" s="3"/>
      <c r="G20" s="2"/>
      <c r="H20" s="34"/>
      <c r="I20" s="34"/>
      <c r="J20" s="34"/>
    </row>
    <row r="21" spans="2:10" x14ac:dyDescent="0.25">
      <c r="B21" s="2"/>
      <c r="C21" s="2" t="e">
        <f>VLOOKUP(B21,Balances!C19:G118,2)</f>
        <v>#N/A</v>
      </c>
      <c r="D21" s="2"/>
      <c r="E21" s="2"/>
      <c r="F21" s="3"/>
      <c r="G21" s="2"/>
      <c r="H21" s="34"/>
      <c r="I21" s="34"/>
      <c r="J21" s="34"/>
    </row>
    <row r="22" spans="2:10" x14ac:dyDescent="0.25">
      <c r="B22" s="2"/>
      <c r="C22" s="2" t="e">
        <f>VLOOKUP(B22,Balances!C20:G119,2)</f>
        <v>#N/A</v>
      </c>
      <c r="D22" s="2"/>
      <c r="E22" s="2"/>
      <c r="F22" s="3"/>
      <c r="G22" s="2"/>
      <c r="H22" s="34"/>
      <c r="I22" s="34"/>
      <c r="J22" s="34"/>
    </row>
    <row r="23" spans="2:10" x14ac:dyDescent="0.25">
      <c r="B23" s="2"/>
      <c r="C23" s="2" t="e">
        <f>VLOOKUP(B23,Balances!C21:G120,2)</f>
        <v>#N/A</v>
      </c>
      <c r="D23" s="2"/>
      <c r="E23" s="2"/>
      <c r="F23" s="3"/>
      <c r="G23" s="2"/>
      <c r="H23" s="34"/>
      <c r="I23" s="34"/>
      <c r="J23" s="34"/>
    </row>
    <row r="24" spans="2:10" x14ac:dyDescent="0.25">
      <c r="B24" s="2"/>
      <c r="C24" s="2" t="e">
        <f>VLOOKUP(B24,Balances!C22:G121,2)</f>
        <v>#N/A</v>
      </c>
      <c r="D24" s="2"/>
      <c r="E24" s="2"/>
      <c r="F24" s="3"/>
      <c r="G24" s="2"/>
      <c r="H24" s="34"/>
      <c r="I24" s="34"/>
      <c r="J24" s="34"/>
    </row>
    <row r="25" spans="2:10" x14ac:dyDescent="0.25">
      <c r="B25" s="2"/>
      <c r="C25" s="2" t="e">
        <f>VLOOKUP(B25,Balances!C23:G122,2)</f>
        <v>#N/A</v>
      </c>
      <c r="D25" s="2"/>
      <c r="E25" s="2"/>
      <c r="F25" s="3"/>
      <c r="G25" s="2"/>
      <c r="H25" s="34"/>
      <c r="I25" s="34"/>
      <c r="J25" s="34"/>
    </row>
    <row r="26" spans="2:10" x14ac:dyDescent="0.25">
      <c r="B26" s="2"/>
      <c r="C26" s="2" t="e">
        <f>VLOOKUP(B26,Balances!C24:G123,2)</f>
        <v>#N/A</v>
      </c>
      <c r="D26" s="2"/>
      <c r="E26" s="2"/>
      <c r="F26" s="3"/>
      <c r="G26" s="2"/>
      <c r="H26" s="34"/>
      <c r="I26" s="34"/>
      <c r="J26" s="34"/>
    </row>
    <row r="27" spans="2:10" x14ac:dyDescent="0.25">
      <c r="B27" s="2"/>
      <c r="C27" s="2" t="e">
        <f>VLOOKUP(B27,Balances!C25:G124,2)</f>
        <v>#N/A</v>
      </c>
      <c r="D27" s="2"/>
      <c r="E27" s="2"/>
      <c r="F27" s="3"/>
      <c r="G27" s="2"/>
      <c r="H27" s="34"/>
      <c r="I27" s="34"/>
      <c r="J27" s="34"/>
    </row>
    <row r="28" spans="2:10" x14ac:dyDescent="0.25">
      <c r="B28" s="2"/>
      <c r="C28" s="2" t="e">
        <f>VLOOKUP(B28,Balances!C26:G125,2)</f>
        <v>#N/A</v>
      </c>
      <c r="D28" s="2"/>
      <c r="E28" s="2"/>
      <c r="F28" s="3"/>
      <c r="G28" s="2"/>
      <c r="H28" s="34"/>
      <c r="I28" s="34"/>
      <c r="J28" s="34"/>
    </row>
    <row r="29" spans="2:10" x14ac:dyDescent="0.25">
      <c r="B29" s="2"/>
      <c r="C29" s="2" t="e">
        <f>VLOOKUP(B29,Balances!C27:G126,2)</f>
        <v>#N/A</v>
      </c>
      <c r="D29" s="2"/>
      <c r="E29" s="2"/>
      <c r="F29" s="3"/>
      <c r="G29" s="2"/>
      <c r="H29" s="34"/>
      <c r="I29" s="34"/>
      <c r="J29" s="34"/>
    </row>
    <row r="30" spans="2:10" x14ac:dyDescent="0.25">
      <c r="B30" s="2"/>
      <c r="C30" s="2" t="e">
        <f>VLOOKUP(B30,Balances!C28:G127,2)</f>
        <v>#N/A</v>
      </c>
      <c r="D30" s="2"/>
      <c r="E30" s="2"/>
      <c r="F30" s="3"/>
      <c r="G30" s="2"/>
      <c r="H30" s="34"/>
      <c r="I30" s="34"/>
      <c r="J30" s="34"/>
    </row>
    <row r="31" spans="2:10" x14ac:dyDescent="0.25">
      <c r="B31" s="2"/>
      <c r="C31" s="2" t="e">
        <f>VLOOKUP(B31,Balances!C29:G128,2)</f>
        <v>#N/A</v>
      </c>
      <c r="D31" s="2"/>
      <c r="E31" s="2"/>
      <c r="F31" s="3"/>
      <c r="G31" s="2"/>
      <c r="H31" s="34"/>
      <c r="I31" s="34"/>
      <c r="J31" s="34"/>
    </row>
    <row r="32" spans="2:10" x14ac:dyDescent="0.25">
      <c r="B32" s="2"/>
      <c r="C32" s="2" t="e">
        <f>VLOOKUP(B32,Balances!C30:G129,2)</f>
        <v>#N/A</v>
      </c>
      <c r="D32" s="2"/>
      <c r="E32" s="2"/>
      <c r="F32" s="3"/>
      <c r="G32" s="2"/>
      <c r="H32" s="34"/>
      <c r="I32" s="34"/>
      <c r="J32" s="34"/>
    </row>
    <row r="33" spans="2:10" x14ac:dyDescent="0.25">
      <c r="B33" s="2"/>
      <c r="C33" s="2" t="e">
        <f>VLOOKUP(B33,Balances!C31:G130,2)</f>
        <v>#N/A</v>
      </c>
      <c r="D33" s="2"/>
      <c r="E33" s="2"/>
      <c r="F33" s="3"/>
      <c r="G33" s="2"/>
      <c r="H33" s="34"/>
      <c r="I33" s="34"/>
      <c r="J33" s="34"/>
    </row>
    <row r="34" spans="2:10" x14ac:dyDescent="0.25">
      <c r="B34" s="2"/>
      <c r="C34" s="2" t="e">
        <f>VLOOKUP(B34,Balances!C32:G131,2)</f>
        <v>#N/A</v>
      </c>
      <c r="D34" s="2"/>
      <c r="E34" s="2"/>
      <c r="F34" s="3"/>
      <c r="G34" s="2"/>
      <c r="H34" s="34"/>
      <c r="I34" s="34"/>
      <c r="J34" s="34"/>
    </row>
    <row r="35" spans="2:10" x14ac:dyDescent="0.25">
      <c r="B35" s="2"/>
      <c r="C35" s="2" t="e">
        <f>VLOOKUP(B35,Balances!C33:G132,2)</f>
        <v>#N/A</v>
      </c>
      <c r="D35" s="2"/>
      <c r="E35" s="2"/>
      <c r="F35" s="3"/>
      <c r="G35" s="2"/>
      <c r="H35" s="34"/>
      <c r="I35" s="34"/>
      <c r="J35" s="34"/>
    </row>
    <row r="36" spans="2:10" x14ac:dyDescent="0.25">
      <c r="B36" s="2"/>
      <c r="C36" s="2" t="e">
        <f>VLOOKUP(B36,Balances!C34:G133,2)</f>
        <v>#N/A</v>
      </c>
      <c r="D36" s="2"/>
      <c r="E36" s="2"/>
      <c r="F36" s="3"/>
      <c r="G36" s="2"/>
      <c r="H36" s="34"/>
      <c r="I36" s="34"/>
      <c r="J36" s="34"/>
    </row>
    <row r="37" spans="2:10" x14ac:dyDescent="0.25">
      <c r="B37" s="2"/>
      <c r="C37" s="2" t="e">
        <f>VLOOKUP(B37,Balances!C35:G134,2)</f>
        <v>#N/A</v>
      </c>
      <c r="D37" s="2"/>
      <c r="E37" s="2"/>
      <c r="F37" s="3"/>
      <c r="G37" s="2"/>
      <c r="H37" s="34"/>
      <c r="I37" s="34"/>
      <c r="J37" s="34"/>
    </row>
    <row r="38" spans="2:10" x14ac:dyDescent="0.25">
      <c r="B38" s="2"/>
      <c r="C38" s="2" t="e">
        <f>VLOOKUP(B38,Balances!C36:G135,2)</f>
        <v>#N/A</v>
      </c>
      <c r="D38" s="2"/>
      <c r="E38" s="2"/>
      <c r="F38" s="3"/>
      <c r="G38" s="2"/>
      <c r="H38" s="34"/>
      <c r="I38" s="34"/>
      <c r="J38" s="34"/>
    </row>
    <row r="39" spans="2:10" x14ac:dyDescent="0.25">
      <c r="B39" s="2"/>
      <c r="C39" s="2" t="e">
        <f>VLOOKUP(B39,Balances!C37:G136,2)</f>
        <v>#N/A</v>
      </c>
      <c r="D39" s="2"/>
      <c r="E39" s="2"/>
      <c r="F39" s="3"/>
      <c r="G39" s="2"/>
      <c r="H39" s="34"/>
      <c r="I39" s="34"/>
      <c r="J39" s="34"/>
    </row>
    <row r="40" spans="2:10" x14ac:dyDescent="0.25">
      <c r="B40" s="2"/>
      <c r="C40" s="2" t="e">
        <f>VLOOKUP(B40,Balances!C38:G137,2)</f>
        <v>#N/A</v>
      </c>
      <c r="D40" s="2"/>
      <c r="E40" s="2"/>
      <c r="F40" s="3"/>
      <c r="G40" s="2"/>
      <c r="H40" s="34"/>
      <c r="I40" s="34"/>
      <c r="J40" s="34"/>
    </row>
    <row r="41" spans="2:10" x14ac:dyDescent="0.25">
      <c r="B41" s="2"/>
      <c r="C41" s="2" t="e">
        <f>VLOOKUP(B41,Balances!C39:G138,2)</f>
        <v>#N/A</v>
      </c>
      <c r="D41" s="2"/>
      <c r="E41" s="2"/>
      <c r="F41" s="3"/>
      <c r="G41" s="2"/>
      <c r="H41" s="34"/>
      <c r="I41" s="34"/>
      <c r="J41" s="34"/>
    </row>
    <row r="42" spans="2:10" x14ac:dyDescent="0.25">
      <c r="B42" s="2"/>
      <c r="C42" s="2" t="e">
        <f>VLOOKUP(B42,Balances!C40:G139,2)</f>
        <v>#N/A</v>
      </c>
      <c r="D42" s="2"/>
      <c r="E42" s="2"/>
      <c r="F42" s="3"/>
      <c r="G42" s="2"/>
      <c r="H42" s="34"/>
      <c r="I42" s="34"/>
      <c r="J42" s="34"/>
    </row>
    <row r="43" spans="2:10" x14ac:dyDescent="0.25">
      <c r="B43" s="2"/>
      <c r="C43" s="2" t="e">
        <f>VLOOKUP(B43,Balances!C41:G140,2)</f>
        <v>#N/A</v>
      </c>
      <c r="D43" s="2"/>
      <c r="E43" s="2"/>
      <c r="F43" s="3"/>
      <c r="G43" s="2"/>
      <c r="H43" s="34"/>
      <c r="I43" s="34"/>
      <c r="J43" s="34"/>
    </row>
    <row r="44" spans="2:10" x14ac:dyDescent="0.25">
      <c r="B44" s="2"/>
      <c r="C44" s="2" t="e">
        <f>VLOOKUP(B44,Balances!C42:G141,2)</f>
        <v>#N/A</v>
      </c>
      <c r="D44" s="2"/>
      <c r="E44" s="2"/>
      <c r="F44" s="3"/>
      <c r="G44" s="2"/>
      <c r="H44" s="34"/>
      <c r="I44" s="34"/>
      <c r="J44" s="34"/>
    </row>
    <row r="45" spans="2:10" x14ac:dyDescent="0.25">
      <c r="B45" s="2"/>
      <c r="C45" s="2" t="e">
        <f>VLOOKUP(B45,Balances!C43:G142,2)</f>
        <v>#N/A</v>
      </c>
      <c r="D45" s="2"/>
      <c r="E45" s="2"/>
      <c r="F45" s="3"/>
      <c r="G45" s="2"/>
      <c r="H45" s="34"/>
      <c r="I45" s="34"/>
      <c r="J45" s="34"/>
    </row>
    <row r="46" spans="2:10" x14ac:dyDescent="0.25">
      <c r="B46" s="2"/>
      <c r="C46" s="2" t="e">
        <f>VLOOKUP(B46,Balances!C44:G143,2)</f>
        <v>#N/A</v>
      </c>
      <c r="D46" s="2"/>
      <c r="E46" s="2"/>
      <c r="F46" s="3"/>
      <c r="G46" s="2"/>
      <c r="H46" s="34"/>
      <c r="I46" s="34"/>
      <c r="J46" s="34"/>
    </row>
    <row r="47" spans="2:10" x14ac:dyDescent="0.25">
      <c r="B47" s="2"/>
      <c r="C47" s="2" t="e">
        <f>VLOOKUP(B47,Balances!C45:G144,2)</f>
        <v>#N/A</v>
      </c>
      <c r="D47" s="2"/>
      <c r="E47" s="2"/>
      <c r="F47" s="3"/>
      <c r="G47" s="2"/>
      <c r="H47" s="34"/>
      <c r="I47" s="34"/>
      <c r="J47" s="34"/>
    </row>
    <row r="48" spans="2:10" x14ac:dyDescent="0.25">
      <c r="B48" s="2"/>
      <c r="C48" s="2" t="e">
        <f>VLOOKUP(B48,Balances!C46:G145,2)</f>
        <v>#N/A</v>
      </c>
      <c r="D48" s="2"/>
      <c r="E48" s="2"/>
      <c r="F48" s="3"/>
      <c r="G48" s="2"/>
      <c r="H48" s="34"/>
      <c r="I48" s="34"/>
      <c r="J48" s="34"/>
    </row>
    <row r="49" spans="2:10" x14ac:dyDescent="0.25">
      <c r="B49" s="2"/>
      <c r="C49" s="2" t="e">
        <f>VLOOKUP(B49,Balances!C47:G146,2)</f>
        <v>#N/A</v>
      </c>
      <c r="D49" s="2"/>
      <c r="E49" s="2"/>
      <c r="F49" s="3"/>
      <c r="G49" s="2"/>
      <c r="H49" s="34"/>
      <c r="I49" s="34"/>
      <c r="J49" s="34"/>
    </row>
    <row r="50" spans="2:10" x14ac:dyDescent="0.25">
      <c r="B50" s="2"/>
      <c r="C50" s="2" t="e">
        <f>VLOOKUP(B50,Balances!C48:G147,2)</f>
        <v>#N/A</v>
      </c>
      <c r="D50" s="2"/>
      <c r="E50" s="2"/>
      <c r="F50" s="3"/>
      <c r="G50" s="2"/>
      <c r="H50" s="34"/>
      <c r="I50" s="34"/>
      <c r="J50" s="34"/>
    </row>
    <row r="51" spans="2:10" x14ac:dyDescent="0.25">
      <c r="B51" s="2"/>
      <c r="C51" s="2" t="e">
        <f>VLOOKUP(B51,Balances!C49:G148,2)</f>
        <v>#N/A</v>
      </c>
      <c r="D51" s="2"/>
      <c r="E51" s="2"/>
      <c r="F51" s="3"/>
      <c r="G51" s="2"/>
      <c r="H51" s="34"/>
      <c r="I51" s="34"/>
      <c r="J51" s="34"/>
    </row>
    <row r="52" spans="2:10" x14ac:dyDescent="0.25">
      <c r="B52" s="2"/>
      <c r="C52" s="2" t="e">
        <f>VLOOKUP(B52,Balances!C50:G149,2)</f>
        <v>#N/A</v>
      </c>
      <c r="D52" s="2"/>
      <c r="E52" s="2"/>
      <c r="F52" s="3"/>
      <c r="G52" s="2"/>
      <c r="H52" s="34"/>
      <c r="I52" s="34"/>
      <c r="J52" s="34"/>
    </row>
    <row r="53" spans="2:10" x14ac:dyDescent="0.25">
      <c r="B53" s="2"/>
      <c r="C53" s="2" t="e">
        <f>VLOOKUP(B53,Balances!C51:G150,2)</f>
        <v>#N/A</v>
      </c>
      <c r="D53" s="2"/>
      <c r="E53" s="2"/>
      <c r="F53" s="3"/>
      <c r="G53" s="2"/>
      <c r="H53" s="34"/>
      <c r="I53" s="34"/>
      <c r="J53" s="34"/>
    </row>
    <row r="54" spans="2:10" x14ac:dyDescent="0.25">
      <c r="B54" s="2"/>
      <c r="C54" s="2" t="e">
        <f>VLOOKUP(B54,Balances!C52:G151,2)</f>
        <v>#N/A</v>
      </c>
      <c r="D54" s="2"/>
      <c r="E54" s="2"/>
      <c r="F54" s="3"/>
      <c r="G54" s="2"/>
      <c r="H54" s="34"/>
      <c r="I54" s="34"/>
      <c r="J54" s="34"/>
    </row>
    <row r="55" spans="2:10" x14ac:dyDescent="0.25">
      <c r="B55" s="2"/>
      <c r="C55" s="2" t="e">
        <f>VLOOKUP(B55,Balances!C53:G152,2)</f>
        <v>#N/A</v>
      </c>
      <c r="D55" s="2"/>
      <c r="E55" s="2"/>
      <c r="F55" s="3"/>
      <c r="G55" s="2"/>
      <c r="H55" s="34"/>
      <c r="I55" s="34"/>
      <c r="J55" s="34"/>
    </row>
    <row r="56" spans="2:10" x14ac:dyDescent="0.25">
      <c r="B56" s="2"/>
      <c r="C56" s="2" t="e">
        <f>VLOOKUP(B56,Balances!C54:G153,2)</f>
        <v>#N/A</v>
      </c>
      <c r="D56" s="2"/>
      <c r="E56" s="2"/>
      <c r="F56" s="3"/>
      <c r="G56" s="2"/>
      <c r="H56" s="34"/>
      <c r="I56" s="34"/>
      <c r="J56" s="34"/>
    </row>
    <row r="57" spans="2:10" x14ac:dyDescent="0.25">
      <c r="B57" s="2"/>
      <c r="C57" s="2" t="e">
        <f>VLOOKUP(B57,Balances!C55:G154,2)</f>
        <v>#N/A</v>
      </c>
      <c r="D57" s="2"/>
      <c r="E57" s="2"/>
      <c r="F57" s="3"/>
      <c r="G57" s="2"/>
      <c r="H57" s="34"/>
      <c r="I57" s="34"/>
      <c r="J57" s="34"/>
    </row>
    <row r="58" spans="2:10" x14ac:dyDescent="0.25">
      <c r="B58" s="2"/>
      <c r="C58" s="2" t="e">
        <f>VLOOKUP(B58,Balances!C56:G155,2)</f>
        <v>#N/A</v>
      </c>
      <c r="D58" s="2"/>
      <c r="E58" s="2"/>
      <c r="F58" s="3"/>
      <c r="G58" s="2"/>
      <c r="H58" s="34"/>
      <c r="I58" s="34"/>
      <c r="J58" s="34"/>
    </row>
    <row r="59" spans="2:10" x14ac:dyDescent="0.25">
      <c r="B59" s="2"/>
      <c r="C59" s="2" t="e">
        <f>VLOOKUP(B59,Balances!C57:G156,2)</f>
        <v>#N/A</v>
      </c>
      <c r="D59" s="2"/>
      <c r="E59" s="2"/>
      <c r="F59" s="3"/>
      <c r="G59" s="2"/>
      <c r="H59" s="34"/>
      <c r="I59" s="34"/>
      <c r="J59" s="34"/>
    </row>
    <row r="60" spans="2:10" x14ac:dyDescent="0.25">
      <c r="B60" s="2"/>
      <c r="C60" s="2" t="e">
        <f>VLOOKUP(B60,Balances!C58:G157,2)</f>
        <v>#N/A</v>
      </c>
      <c r="D60" s="2"/>
      <c r="E60" s="2"/>
      <c r="F60" s="3"/>
      <c r="G60" s="2"/>
      <c r="H60" s="34"/>
      <c r="I60" s="34"/>
      <c r="J60" s="34"/>
    </row>
    <row r="61" spans="2:10" x14ac:dyDescent="0.25">
      <c r="B61" s="2"/>
      <c r="C61" s="2" t="e">
        <f>VLOOKUP(B61,Balances!C59:G158,2)</f>
        <v>#N/A</v>
      </c>
      <c r="D61" s="2"/>
      <c r="E61" s="2"/>
      <c r="F61" s="3"/>
      <c r="G61" s="2"/>
      <c r="H61" s="34"/>
      <c r="I61" s="34"/>
      <c r="J61" s="34"/>
    </row>
    <row r="62" spans="2:10" x14ac:dyDescent="0.25">
      <c r="B62" s="2"/>
      <c r="C62" s="2" t="e">
        <f>VLOOKUP(B62,Balances!C60:G159,2)</f>
        <v>#N/A</v>
      </c>
      <c r="D62" s="2"/>
      <c r="E62" s="2"/>
      <c r="F62" s="3"/>
      <c r="G62" s="2"/>
      <c r="H62" s="34"/>
      <c r="I62" s="34"/>
      <c r="J62" s="34"/>
    </row>
    <row r="63" spans="2:10" x14ac:dyDescent="0.25">
      <c r="B63" s="2"/>
      <c r="C63" s="2" t="e">
        <f>VLOOKUP(B63,Balances!C61:G160,2)</f>
        <v>#N/A</v>
      </c>
      <c r="D63" s="2"/>
      <c r="E63" s="2"/>
      <c r="F63" s="3"/>
      <c r="G63" s="2"/>
      <c r="H63" s="34"/>
      <c r="I63" s="34"/>
      <c r="J63" s="34"/>
    </row>
    <row r="64" spans="2:10" x14ac:dyDescent="0.25">
      <c r="B64" s="2"/>
      <c r="C64" s="2" t="e">
        <f>VLOOKUP(B64,Balances!C62:G161,2)</f>
        <v>#N/A</v>
      </c>
      <c r="D64" s="2"/>
      <c r="E64" s="2"/>
      <c r="F64" s="3"/>
      <c r="G64" s="2"/>
      <c r="H64" s="34"/>
      <c r="I64" s="34"/>
      <c r="J64" s="34"/>
    </row>
    <row r="65" spans="2:10" x14ac:dyDescent="0.25">
      <c r="B65" s="2"/>
      <c r="C65" s="2" t="e">
        <f>VLOOKUP(B65,Balances!C63:G162,2)</f>
        <v>#N/A</v>
      </c>
      <c r="D65" s="2"/>
      <c r="E65" s="2"/>
      <c r="F65" s="3"/>
      <c r="G65" s="2"/>
      <c r="H65" s="34"/>
      <c r="I65" s="34"/>
      <c r="J65" s="34"/>
    </row>
    <row r="66" spans="2:10" x14ac:dyDescent="0.25">
      <c r="B66" s="2"/>
      <c r="C66" s="2" t="e">
        <f>VLOOKUP(B66,Balances!C64:G163,2)</f>
        <v>#N/A</v>
      </c>
      <c r="D66" s="2"/>
      <c r="E66" s="2"/>
      <c r="F66" s="3"/>
      <c r="G66" s="2"/>
      <c r="H66" s="34"/>
      <c r="I66" s="34"/>
      <c r="J66" s="34"/>
    </row>
    <row r="67" spans="2:10" x14ac:dyDescent="0.25">
      <c r="B67" s="2"/>
      <c r="C67" s="2" t="e">
        <f>VLOOKUP(B67,Balances!C65:G164,2)</f>
        <v>#N/A</v>
      </c>
      <c r="D67" s="2"/>
      <c r="E67" s="2"/>
      <c r="F67" s="3"/>
      <c r="G67" s="2"/>
      <c r="H67" s="34"/>
      <c r="I67" s="34"/>
      <c r="J67" s="34"/>
    </row>
    <row r="68" spans="2:10" x14ac:dyDescent="0.25">
      <c r="B68" s="2"/>
      <c r="C68" s="2" t="e">
        <f>VLOOKUP(B68,Balances!C66:G165,2)</f>
        <v>#N/A</v>
      </c>
      <c r="D68" s="2"/>
      <c r="E68" s="2"/>
      <c r="F68" s="3"/>
      <c r="G68" s="2"/>
      <c r="H68" s="34"/>
      <c r="I68" s="34"/>
      <c r="J68" s="34"/>
    </row>
    <row r="69" spans="2:10" x14ac:dyDescent="0.25">
      <c r="B69" s="2"/>
      <c r="C69" s="2" t="e">
        <f>VLOOKUP(B69,Balances!C67:G166,2)</f>
        <v>#N/A</v>
      </c>
      <c r="D69" s="2"/>
      <c r="E69" s="2"/>
      <c r="F69" s="3"/>
      <c r="G69" s="2"/>
      <c r="H69" s="34"/>
      <c r="I69" s="34"/>
      <c r="J69" s="34"/>
    </row>
    <row r="70" spans="2:10" x14ac:dyDescent="0.25">
      <c r="B70" s="2"/>
      <c r="C70" s="2" t="e">
        <f>VLOOKUP(B70,Balances!C68:G167,2)</f>
        <v>#N/A</v>
      </c>
      <c r="D70" s="2"/>
      <c r="E70" s="2"/>
      <c r="F70" s="3"/>
      <c r="G70" s="2"/>
      <c r="H70" s="34"/>
      <c r="I70" s="34"/>
      <c r="J70" s="34"/>
    </row>
    <row r="71" spans="2:10" x14ac:dyDescent="0.25">
      <c r="B71" s="2"/>
      <c r="C71" s="2" t="e">
        <f>VLOOKUP(B71,Balances!C69:G168,2)</f>
        <v>#N/A</v>
      </c>
      <c r="D71" s="2"/>
      <c r="E71" s="2"/>
      <c r="F71" s="3"/>
      <c r="G71" s="2"/>
      <c r="H71" s="34"/>
      <c r="I71" s="34"/>
      <c r="J71" s="34"/>
    </row>
    <row r="72" spans="2:10" x14ac:dyDescent="0.25">
      <c r="B72" s="2"/>
      <c r="C72" s="2" t="e">
        <f>VLOOKUP(B72,Balances!C70:G169,2)</f>
        <v>#N/A</v>
      </c>
      <c r="D72" s="2"/>
      <c r="E72" s="2"/>
      <c r="F72" s="3"/>
      <c r="G72" s="2"/>
      <c r="H72" s="34"/>
      <c r="I72" s="34"/>
      <c r="J72" s="34"/>
    </row>
    <row r="73" spans="2:10" x14ac:dyDescent="0.25">
      <c r="B73" s="2"/>
      <c r="C73" s="2" t="e">
        <f>VLOOKUP(B73,Balances!C71:G170,2)</f>
        <v>#N/A</v>
      </c>
      <c r="D73" s="2"/>
      <c r="E73" s="2"/>
      <c r="F73" s="3"/>
      <c r="G73" s="2"/>
      <c r="H73" s="34"/>
      <c r="I73" s="34"/>
      <c r="J73" s="34"/>
    </row>
    <row r="74" spans="2:10" x14ac:dyDescent="0.25">
      <c r="B74" s="2"/>
      <c r="C74" s="2" t="e">
        <f>VLOOKUP(B74,Balances!C72:G171,2)</f>
        <v>#N/A</v>
      </c>
      <c r="D74" s="2"/>
      <c r="E74" s="2"/>
      <c r="F74" s="3"/>
      <c r="G74" s="2"/>
      <c r="H74" s="34"/>
      <c r="I74" s="34"/>
      <c r="J74" s="34"/>
    </row>
    <row r="75" spans="2:10" x14ac:dyDescent="0.25">
      <c r="B75" s="2"/>
      <c r="C75" s="2" t="e">
        <f>VLOOKUP(B75,Balances!C73:G172,2)</f>
        <v>#N/A</v>
      </c>
      <c r="D75" s="2"/>
      <c r="E75" s="2"/>
      <c r="F75" s="3"/>
      <c r="G75" s="2"/>
      <c r="H75" s="34"/>
      <c r="I75" s="34"/>
      <c r="J75" s="34"/>
    </row>
    <row r="76" spans="2:10" x14ac:dyDescent="0.25">
      <c r="B76" s="2"/>
      <c r="C76" s="2" t="e">
        <f>VLOOKUP(B76,Balances!C74:G173,2)</f>
        <v>#N/A</v>
      </c>
      <c r="D76" s="2"/>
      <c r="E76" s="2"/>
      <c r="F76" s="3"/>
      <c r="G76" s="2"/>
      <c r="H76" s="34"/>
      <c r="I76" s="34"/>
      <c r="J76" s="34"/>
    </row>
    <row r="77" spans="2:10" x14ac:dyDescent="0.25">
      <c r="B77" s="2"/>
      <c r="C77" s="2" t="e">
        <f>VLOOKUP(B77,Balances!C75:G174,2)</f>
        <v>#N/A</v>
      </c>
      <c r="D77" s="2"/>
      <c r="E77" s="2"/>
      <c r="F77" s="3"/>
      <c r="G77" s="2"/>
      <c r="H77" s="34"/>
      <c r="I77" s="34"/>
      <c r="J77" s="34"/>
    </row>
    <row r="78" spans="2:10" x14ac:dyDescent="0.25">
      <c r="B78" s="2"/>
      <c r="C78" s="2" t="e">
        <f>VLOOKUP(B78,Balances!C76:G175,2)</f>
        <v>#N/A</v>
      </c>
      <c r="D78" s="2"/>
      <c r="E78" s="2"/>
      <c r="F78" s="3"/>
      <c r="G78" s="2"/>
      <c r="H78" s="34"/>
      <c r="I78" s="34"/>
      <c r="J78" s="34"/>
    </row>
    <row r="79" spans="2:10" x14ac:dyDescent="0.25">
      <c r="B79" s="2"/>
      <c r="C79" s="2" t="e">
        <f>VLOOKUP(B79,Balances!C77:G176,2)</f>
        <v>#N/A</v>
      </c>
      <c r="D79" s="2"/>
      <c r="E79" s="2"/>
      <c r="F79" s="3"/>
      <c r="G79" s="2"/>
      <c r="H79" s="34"/>
      <c r="I79" s="34"/>
      <c r="J79" s="34"/>
    </row>
    <row r="80" spans="2:10" x14ac:dyDescent="0.25">
      <c r="B80" s="2"/>
      <c r="C80" s="2" t="e">
        <f>VLOOKUP(B80,Balances!C78:G177,2)</f>
        <v>#N/A</v>
      </c>
      <c r="D80" s="2"/>
      <c r="E80" s="2"/>
      <c r="F80" s="3"/>
      <c r="G80" s="2"/>
      <c r="H80" s="34"/>
      <c r="I80" s="34"/>
      <c r="J80" s="34"/>
    </row>
    <row r="81" spans="2:10" x14ac:dyDescent="0.25">
      <c r="B81" s="2"/>
      <c r="C81" s="2" t="e">
        <f>VLOOKUP(B81,Balances!C79:G178,2)</f>
        <v>#N/A</v>
      </c>
      <c r="D81" s="2"/>
      <c r="E81" s="2"/>
      <c r="F81" s="3"/>
      <c r="G81" s="2"/>
      <c r="H81" s="34"/>
      <c r="I81" s="34"/>
      <c r="J81" s="34"/>
    </row>
    <row r="82" spans="2:10" x14ac:dyDescent="0.25">
      <c r="B82" s="2"/>
      <c r="C82" s="2" t="e">
        <f>VLOOKUP(B82,Balances!C80:G179,2)</f>
        <v>#N/A</v>
      </c>
      <c r="D82" s="2"/>
      <c r="E82" s="2"/>
      <c r="F82" s="3"/>
      <c r="G82" s="2"/>
      <c r="H82" s="34"/>
      <c r="I82" s="34"/>
      <c r="J82" s="34"/>
    </row>
    <row r="83" spans="2:10" x14ac:dyDescent="0.25">
      <c r="B83" s="2"/>
      <c r="C83" s="2" t="e">
        <f>VLOOKUP(B83,Balances!C81:G180,2)</f>
        <v>#N/A</v>
      </c>
      <c r="D83" s="2"/>
      <c r="E83" s="2"/>
      <c r="F83" s="3"/>
      <c r="G83" s="2"/>
      <c r="H83" s="34"/>
      <c r="I83" s="34"/>
      <c r="J83" s="34"/>
    </row>
    <row r="84" spans="2:10" x14ac:dyDescent="0.25">
      <c r="B84" s="2"/>
      <c r="C84" s="2" t="e">
        <f>VLOOKUP(B84,Balances!C82:G181,2)</f>
        <v>#N/A</v>
      </c>
      <c r="D84" s="2"/>
      <c r="E84" s="2"/>
      <c r="F84" s="3"/>
      <c r="G84" s="2"/>
      <c r="H84" s="34"/>
      <c r="I84" s="34"/>
      <c r="J84" s="34"/>
    </row>
    <row r="85" spans="2:10" x14ac:dyDescent="0.25">
      <c r="B85" s="2"/>
      <c r="C85" s="2" t="e">
        <f>VLOOKUP(B85,Balances!C83:G182,2)</f>
        <v>#N/A</v>
      </c>
      <c r="D85" s="2"/>
      <c r="E85" s="2"/>
      <c r="F85" s="3"/>
      <c r="G85" s="2"/>
      <c r="H85" s="34"/>
      <c r="I85" s="34"/>
      <c r="J85" s="34"/>
    </row>
    <row r="86" spans="2:10" x14ac:dyDescent="0.25">
      <c r="B86" s="2"/>
      <c r="C86" s="2" t="e">
        <f>VLOOKUP(B86,Balances!C84:G183,2)</f>
        <v>#N/A</v>
      </c>
      <c r="D86" s="2"/>
      <c r="E86" s="2"/>
      <c r="F86" s="3"/>
      <c r="G86" s="2"/>
      <c r="H86" s="34"/>
      <c r="I86" s="34"/>
      <c r="J86" s="34"/>
    </row>
    <row r="87" spans="2:10" x14ac:dyDescent="0.25">
      <c r="B87" s="2"/>
      <c r="C87" s="2" t="e">
        <f>VLOOKUP(B87,Balances!C85:G184,2)</f>
        <v>#N/A</v>
      </c>
      <c r="D87" s="2"/>
      <c r="E87" s="2"/>
      <c r="F87" s="3"/>
      <c r="G87" s="2"/>
      <c r="H87" s="34"/>
      <c r="I87" s="34"/>
      <c r="J87" s="34"/>
    </row>
    <row r="88" spans="2:10" x14ac:dyDescent="0.25">
      <c r="B88" s="2"/>
      <c r="C88" s="2" t="e">
        <f>VLOOKUP(B88,Balances!C86:G185,2)</f>
        <v>#N/A</v>
      </c>
      <c r="D88" s="2"/>
      <c r="E88" s="2"/>
      <c r="F88" s="3"/>
      <c r="G88" s="2"/>
      <c r="H88" s="34"/>
      <c r="I88" s="34"/>
      <c r="J88" s="34"/>
    </row>
    <row r="89" spans="2:10" x14ac:dyDescent="0.25">
      <c r="B89" s="2"/>
      <c r="C89" s="2" t="e">
        <f>VLOOKUP(B89,Balances!C87:G186,2)</f>
        <v>#N/A</v>
      </c>
      <c r="D89" s="2"/>
      <c r="E89" s="2"/>
      <c r="F89" s="3"/>
      <c r="G89" s="2"/>
      <c r="H89" s="34"/>
      <c r="I89" s="34"/>
      <c r="J89" s="34"/>
    </row>
    <row r="90" spans="2:10" x14ac:dyDescent="0.25">
      <c r="B90" s="2"/>
      <c r="C90" s="2" t="e">
        <f>VLOOKUP(B90,Balances!C88:G187,2)</f>
        <v>#N/A</v>
      </c>
      <c r="D90" s="2"/>
      <c r="E90" s="2"/>
      <c r="F90" s="3"/>
      <c r="G90" s="2"/>
      <c r="H90" s="34"/>
      <c r="I90" s="34"/>
      <c r="J90" s="34"/>
    </row>
    <row r="91" spans="2:10" x14ac:dyDescent="0.25">
      <c r="B91" s="2"/>
      <c r="C91" s="2" t="e">
        <f>VLOOKUP(B91,Balances!C89:G188,2)</f>
        <v>#N/A</v>
      </c>
      <c r="D91" s="2"/>
      <c r="E91" s="2"/>
      <c r="F91" s="3"/>
      <c r="G91" s="2"/>
      <c r="H91" s="34"/>
      <c r="I91" s="34"/>
      <c r="J91" s="34"/>
    </row>
    <row r="92" spans="2:10" x14ac:dyDescent="0.25">
      <c r="B92" s="2"/>
      <c r="C92" s="2" t="e">
        <f>VLOOKUP(B92,Balances!C90:G189,2)</f>
        <v>#N/A</v>
      </c>
      <c r="D92" s="2"/>
      <c r="E92" s="2"/>
      <c r="F92" s="3"/>
      <c r="G92" s="2"/>
      <c r="H92" s="34"/>
      <c r="I92" s="34"/>
      <c r="J92" s="34"/>
    </row>
    <row r="93" spans="2:10" x14ac:dyDescent="0.25">
      <c r="B93" s="2"/>
      <c r="C93" s="2" t="e">
        <f>VLOOKUP(B93,Balances!C91:G190,2)</f>
        <v>#N/A</v>
      </c>
      <c r="D93" s="2"/>
      <c r="E93" s="2"/>
      <c r="F93" s="3"/>
      <c r="G93" s="2"/>
      <c r="H93" s="34"/>
      <c r="I93" s="34"/>
      <c r="J93" s="34"/>
    </row>
    <row r="94" spans="2:10" x14ac:dyDescent="0.25">
      <c r="B94" s="2"/>
      <c r="C94" s="2" t="e">
        <f>VLOOKUP(B94,Balances!C92:G191,2)</f>
        <v>#N/A</v>
      </c>
      <c r="D94" s="2"/>
      <c r="E94" s="2"/>
      <c r="F94" s="3"/>
      <c r="G94" s="2"/>
      <c r="H94" s="34"/>
      <c r="I94" s="34"/>
      <c r="J94" s="34"/>
    </row>
    <row r="95" spans="2:10" x14ac:dyDescent="0.25">
      <c r="B95" s="2"/>
      <c r="C95" s="2" t="e">
        <f>VLOOKUP(B95,Balances!C93:G192,2)</f>
        <v>#N/A</v>
      </c>
      <c r="D95" s="2"/>
      <c r="E95" s="2"/>
      <c r="F95" s="3"/>
      <c r="G95" s="2"/>
      <c r="H95" s="34"/>
      <c r="I95" s="34"/>
      <c r="J95" s="34"/>
    </row>
    <row r="96" spans="2:10" x14ac:dyDescent="0.25">
      <c r="B96" s="2"/>
      <c r="C96" s="2" t="e">
        <f>VLOOKUP(B96,Balances!C94:G193,2)</f>
        <v>#N/A</v>
      </c>
      <c r="D96" s="2"/>
      <c r="E96" s="2"/>
      <c r="F96" s="3"/>
      <c r="G96" s="2"/>
      <c r="H96" s="34"/>
      <c r="I96" s="34"/>
      <c r="J96" s="34"/>
    </row>
    <row r="97" spans="2:10" x14ac:dyDescent="0.25">
      <c r="B97" s="2"/>
      <c r="C97" s="2" t="e">
        <f>VLOOKUP(B97,Balances!C95:G194,2)</f>
        <v>#N/A</v>
      </c>
      <c r="D97" s="2"/>
      <c r="E97" s="2"/>
      <c r="F97" s="3"/>
      <c r="G97" s="2"/>
      <c r="H97" s="34"/>
      <c r="I97" s="34"/>
      <c r="J97" s="34"/>
    </row>
    <row r="98" spans="2:10" x14ac:dyDescent="0.25">
      <c r="B98" s="2"/>
      <c r="C98" s="2" t="e">
        <f>VLOOKUP(B98,Balances!C96:G195,2)</f>
        <v>#N/A</v>
      </c>
      <c r="D98" s="2"/>
      <c r="E98" s="2"/>
      <c r="F98" s="3"/>
      <c r="G98" s="2"/>
      <c r="H98" s="34"/>
      <c r="I98" s="34"/>
      <c r="J98" s="34"/>
    </row>
    <row r="99" spans="2:10" x14ac:dyDescent="0.25">
      <c r="B99" s="2"/>
      <c r="C99" s="2" t="e">
        <f>VLOOKUP(B99,Balances!C97:G196,2)</f>
        <v>#N/A</v>
      </c>
      <c r="D99" s="2"/>
      <c r="E99" s="2"/>
      <c r="F99" s="3"/>
      <c r="G99" s="2"/>
      <c r="H99" s="34"/>
      <c r="I99" s="34"/>
      <c r="J99" s="34"/>
    </row>
    <row r="100" spans="2:10" x14ac:dyDescent="0.25">
      <c r="B100" s="2"/>
      <c r="C100" s="2" t="e">
        <f>VLOOKUP(B100,Balances!C98:G197,2)</f>
        <v>#N/A</v>
      </c>
      <c r="D100" s="2"/>
      <c r="E100" s="2"/>
      <c r="F100" s="3"/>
      <c r="G100" s="2"/>
      <c r="H100" s="34"/>
      <c r="I100" s="34"/>
      <c r="J100" s="34"/>
    </row>
    <row r="101" spans="2:10" x14ac:dyDescent="0.25">
      <c r="B101" s="2"/>
      <c r="C101" s="2" t="e">
        <f>VLOOKUP(B101,Balances!C99:G198,2)</f>
        <v>#N/A</v>
      </c>
      <c r="D101" s="2"/>
      <c r="E101" s="2"/>
      <c r="F101" s="3"/>
      <c r="G101" s="2"/>
      <c r="H101" s="34"/>
      <c r="I101" s="34"/>
      <c r="J101" s="34"/>
    </row>
    <row r="102" spans="2:10" x14ac:dyDescent="0.25">
      <c r="B102" s="2"/>
      <c r="C102" s="2" t="e">
        <f>VLOOKUP(B102,Balances!C100:G199,2)</f>
        <v>#N/A</v>
      </c>
      <c r="D102" s="2"/>
      <c r="E102" s="2"/>
      <c r="F102" s="3"/>
      <c r="G102" s="2"/>
      <c r="H102" s="34"/>
      <c r="I102" s="34"/>
      <c r="J102" s="34"/>
    </row>
    <row r="103" spans="2:10" x14ac:dyDescent="0.25">
      <c r="B103" s="2"/>
      <c r="C103" s="2" t="e">
        <f>VLOOKUP(B103,Balances!C101:G200,2)</f>
        <v>#N/A</v>
      </c>
      <c r="D103" s="2"/>
      <c r="E103" s="2"/>
      <c r="F103" s="3"/>
      <c r="G103" s="2"/>
      <c r="H103" s="34"/>
      <c r="I103" s="34"/>
      <c r="J103" s="34"/>
    </row>
    <row r="104" spans="2:10" x14ac:dyDescent="0.25">
      <c r="B104" s="2"/>
      <c r="C104" s="2" t="e">
        <f>VLOOKUP(B104,Balances!C102:G201,2)</f>
        <v>#N/A</v>
      </c>
      <c r="D104" s="2"/>
      <c r="E104" s="2"/>
      <c r="F104" s="3"/>
      <c r="G104" s="2"/>
      <c r="H104" s="34"/>
      <c r="I104" s="34"/>
      <c r="J104" s="34"/>
    </row>
    <row r="105" spans="2:10" x14ac:dyDescent="0.25">
      <c r="B105" s="2"/>
      <c r="C105" s="2" t="e">
        <f>VLOOKUP(B105,Balances!C103:G202,2)</f>
        <v>#N/A</v>
      </c>
      <c r="D105" s="2"/>
      <c r="E105" s="2"/>
      <c r="F105" s="3"/>
      <c r="G105" s="2"/>
      <c r="H105" s="34"/>
      <c r="I105" s="34"/>
      <c r="J105" s="34"/>
    </row>
    <row r="106" spans="2:10" x14ac:dyDescent="0.25">
      <c r="B106" s="2"/>
      <c r="C106" s="2" t="e">
        <f>VLOOKUP(B106,Balances!C104:G203,2)</f>
        <v>#N/A</v>
      </c>
      <c r="D106" s="2"/>
      <c r="E106" s="2"/>
      <c r="F106" s="3"/>
      <c r="G106" s="2"/>
      <c r="H106" s="34"/>
      <c r="I106" s="34"/>
      <c r="J106" s="34"/>
    </row>
    <row r="107" spans="2:10" x14ac:dyDescent="0.25">
      <c r="B107" s="2"/>
      <c r="C107" s="2" t="e">
        <f>VLOOKUP(B107,Balances!C105:G204,2)</f>
        <v>#N/A</v>
      </c>
      <c r="D107" s="2"/>
      <c r="E107" s="2"/>
      <c r="F107" s="3"/>
      <c r="G107" s="2"/>
      <c r="H107" s="34"/>
      <c r="I107" s="34"/>
      <c r="J107" s="34"/>
    </row>
    <row r="108" spans="2:10" x14ac:dyDescent="0.25">
      <c r="B108" s="2"/>
      <c r="C108" s="2" t="e">
        <f>VLOOKUP(B108,Balances!C106:G205,2)</f>
        <v>#N/A</v>
      </c>
      <c r="D108" s="2"/>
      <c r="E108" s="2"/>
      <c r="F108" s="3"/>
      <c r="G108" s="2"/>
      <c r="H108" s="34"/>
      <c r="I108" s="34"/>
      <c r="J108" s="34"/>
    </row>
    <row r="109" spans="2:10" x14ac:dyDescent="0.25">
      <c r="B109" s="2"/>
      <c r="C109" s="2" t="e">
        <f>VLOOKUP(B109,Balances!C107:G206,2)</f>
        <v>#N/A</v>
      </c>
      <c r="D109" s="2"/>
      <c r="E109" s="2"/>
      <c r="F109" s="3"/>
      <c r="G109" s="2"/>
      <c r="H109" s="34"/>
      <c r="I109" s="34"/>
      <c r="J109" s="34"/>
    </row>
    <row r="110" spans="2:10" x14ac:dyDescent="0.25">
      <c r="B110" s="2"/>
      <c r="C110" s="2" t="e">
        <f>VLOOKUP(B110,Balances!C108:G207,2)</f>
        <v>#N/A</v>
      </c>
      <c r="D110" s="2"/>
      <c r="E110" s="2"/>
      <c r="F110" s="3"/>
      <c r="G110" s="2"/>
      <c r="H110" s="34"/>
      <c r="I110" s="34"/>
      <c r="J110" s="34"/>
    </row>
    <row r="111" spans="2:10" x14ac:dyDescent="0.25">
      <c r="B111" s="2"/>
      <c r="C111" s="2" t="e">
        <f>VLOOKUP(B111,Balances!C109:G208,2)</f>
        <v>#N/A</v>
      </c>
      <c r="D111" s="2"/>
      <c r="E111" s="2"/>
      <c r="F111" s="3"/>
      <c r="G111" s="2"/>
      <c r="H111" s="34"/>
      <c r="I111" s="34"/>
      <c r="J111" s="34"/>
    </row>
    <row r="112" spans="2:10" x14ac:dyDescent="0.25">
      <c r="B112" s="2"/>
      <c r="C112" s="2" t="e">
        <f>VLOOKUP(B112,Balances!C110:G209,2)</f>
        <v>#N/A</v>
      </c>
      <c r="D112" s="2"/>
      <c r="E112" s="2"/>
      <c r="F112" s="3"/>
      <c r="G112" s="2"/>
      <c r="H112" s="34"/>
      <c r="I112" s="34"/>
      <c r="J112" s="34"/>
    </row>
    <row r="113" spans="2:10" x14ac:dyDescent="0.25">
      <c r="B113" s="2"/>
      <c r="C113" s="2" t="e">
        <f>VLOOKUP(B113,Balances!C111:G210,2)</f>
        <v>#N/A</v>
      </c>
      <c r="D113" s="2"/>
      <c r="E113" s="2"/>
      <c r="F113" s="3"/>
      <c r="G113" s="2"/>
      <c r="H113" s="34"/>
      <c r="I113" s="34"/>
      <c r="J113" s="34"/>
    </row>
    <row r="114" spans="2:10" x14ac:dyDescent="0.25">
      <c r="B114" s="2"/>
      <c r="C114" s="2" t="e">
        <f>VLOOKUP(B114,Balances!C112:G211,2)</f>
        <v>#N/A</v>
      </c>
      <c r="D114" s="2"/>
      <c r="E114" s="2"/>
      <c r="F114" s="3"/>
      <c r="G114" s="2"/>
      <c r="H114" s="34"/>
      <c r="I114" s="34"/>
      <c r="J114" s="34"/>
    </row>
    <row r="115" spans="2:10" x14ac:dyDescent="0.25">
      <c r="B115" s="2"/>
      <c r="C115" s="2" t="e">
        <f>VLOOKUP(B115,Balances!C113:G212,2)</f>
        <v>#N/A</v>
      </c>
      <c r="D115" s="2"/>
      <c r="E115" s="2"/>
      <c r="F115" s="3"/>
      <c r="G115" s="2"/>
      <c r="H115" s="34"/>
      <c r="I115" s="34"/>
      <c r="J115" s="34"/>
    </row>
    <row r="116" spans="2:10" x14ac:dyDescent="0.25">
      <c r="B116" s="2"/>
      <c r="C116" s="2" t="e">
        <f>VLOOKUP(B116,Balances!C114:G213,2)</f>
        <v>#N/A</v>
      </c>
      <c r="D116" s="2"/>
      <c r="E116" s="2"/>
      <c r="F116" s="3"/>
      <c r="G116" s="2"/>
      <c r="H116" s="34"/>
      <c r="I116" s="34"/>
      <c r="J116" s="34"/>
    </row>
    <row r="117" spans="2:10" x14ac:dyDescent="0.25">
      <c r="B117" s="2"/>
      <c r="C117" s="2" t="e">
        <f>VLOOKUP(B117,Balances!C115:G214,2)</f>
        <v>#N/A</v>
      </c>
      <c r="D117" s="2"/>
      <c r="E117" s="2"/>
      <c r="F117" s="3"/>
      <c r="G117" s="2"/>
      <c r="H117" s="34"/>
      <c r="I117" s="34"/>
      <c r="J117" s="34"/>
    </row>
    <row r="118" spans="2:10" x14ac:dyDescent="0.25">
      <c r="B118" s="2"/>
      <c r="C118" s="2" t="e">
        <f>VLOOKUP(B118,Balances!C116:G215,2)</f>
        <v>#N/A</v>
      </c>
      <c r="D118" s="2"/>
      <c r="E118" s="2"/>
      <c r="F118" s="3"/>
      <c r="G118" s="2"/>
      <c r="H118" s="34"/>
      <c r="I118" s="34"/>
      <c r="J118" s="34"/>
    </row>
    <row r="119" spans="2:10" x14ac:dyDescent="0.25">
      <c r="B119" s="2"/>
      <c r="C119" s="2" t="e">
        <f>VLOOKUP(B119,Balances!C117:G216,2)</f>
        <v>#N/A</v>
      </c>
      <c r="D119" s="2"/>
      <c r="E119" s="2"/>
      <c r="F119" s="3"/>
      <c r="G119" s="2"/>
      <c r="H119" s="34"/>
      <c r="I119" s="34"/>
      <c r="J119" s="34"/>
    </row>
    <row r="120" spans="2:10" x14ac:dyDescent="0.25">
      <c r="B120" s="2"/>
      <c r="C120" s="2" t="e">
        <f>VLOOKUP(B120,Balances!C118:G217,2)</f>
        <v>#N/A</v>
      </c>
      <c r="D120" s="2"/>
      <c r="E120" s="2"/>
      <c r="F120" s="3"/>
      <c r="G120" s="2"/>
      <c r="H120" s="34"/>
      <c r="I120" s="34"/>
      <c r="J120" s="34"/>
    </row>
    <row r="121" spans="2:10" x14ac:dyDescent="0.25">
      <c r="B121" s="2"/>
      <c r="C121" s="2" t="e">
        <f>VLOOKUP(B121,Balances!C119:G218,2)</f>
        <v>#N/A</v>
      </c>
      <c r="D121" s="2"/>
      <c r="E121" s="2"/>
      <c r="F121" s="3"/>
      <c r="G121" s="2"/>
      <c r="H121" s="34"/>
      <c r="I121" s="34"/>
      <c r="J121" s="34"/>
    </row>
    <row r="122" spans="2:10" x14ac:dyDescent="0.25">
      <c r="B122" s="2"/>
      <c r="C122" s="2" t="e">
        <f>VLOOKUP(B122,Balances!C120:G219,2)</f>
        <v>#N/A</v>
      </c>
      <c r="D122" s="2"/>
      <c r="E122" s="2"/>
      <c r="F122" s="3"/>
      <c r="G122" s="2"/>
      <c r="H122" s="34"/>
      <c r="I122" s="34"/>
      <c r="J122" s="34"/>
    </row>
    <row r="123" spans="2:10" x14ac:dyDescent="0.25">
      <c r="B123" s="2"/>
      <c r="C123" s="2" t="e">
        <f>VLOOKUP(B123,Balances!C121:G220,2)</f>
        <v>#N/A</v>
      </c>
      <c r="D123" s="2"/>
      <c r="E123" s="2"/>
      <c r="F123" s="3"/>
      <c r="G123" s="2"/>
      <c r="H123" s="34"/>
      <c r="I123" s="34"/>
      <c r="J123" s="34"/>
    </row>
    <row r="124" spans="2:10" x14ac:dyDescent="0.25">
      <c r="B124" s="2"/>
      <c r="C124" s="2" t="e">
        <f>VLOOKUP(B124,Balances!C122:G221,2)</f>
        <v>#N/A</v>
      </c>
      <c r="D124" s="2"/>
      <c r="E124" s="2"/>
      <c r="F124" s="3"/>
      <c r="G124" s="2"/>
      <c r="H124" s="34"/>
      <c r="I124" s="34"/>
      <c r="J124" s="34"/>
    </row>
    <row r="125" spans="2:10" x14ac:dyDescent="0.25">
      <c r="B125" s="2"/>
      <c r="C125" s="2" t="e">
        <f>VLOOKUP(B125,Balances!C123:G222,2)</f>
        <v>#N/A</v>
      </c>
      <c r="D125" s="2"/>
      <c r="E125" s="2"/>
      <c r="F125" s="3"/>
      <c r="G125" s="2"/>
      <c r="H125" s="34"/>
      <c r="I125" s="34"/>
      <c r="J125" s="34"/>
    </row>
    <row r="126" spans="2:10" x14ac:dyDescent="0.25">
      <c r="B126" s="2"/>
      <c r="C126" s="2" t="e">
        <f>VLOOKUP(B126,Balances!C124:G223,2)</f>
        <v>#N/A</v>
      </c>
      <c r="D126" s="2"/>
      <c r="E126" s="2"/>
      <c r="F126" s="3"/>
      <c r="G126" s="2"/>
      <c r="H126" s="34"/>
      <c r="I126" s="34"/>
      <c r="J126" s="34"/>
    </row>
    <row r="127" spans="2:10" x14ac:dyDescent="0.25">
      <c r="B127" s="2"/>
      <c r="C127" s="2" t="e">
        <f>VLOOKUP(B127,Balances!C125:G224,2)</f>
        <v>#N/A</v>
      </c>
      <c r="D127" s="2"/>
      <c r="E127" s="2"/>
      <c r="F127" s="3"/>
      <c r="G127" s="2"/>
      <c r="H127" s="34"/>
      <c r="I127" s="34"/>
      <c r="J127" s="34"/>
    </row>
    <row r="128" spans="2:10" x14ac:dyDescent="0.25">
      <c r="B128" s="2"/>
      <c r="C128" s="2" t="e">
        <f>VLOOKUP(B128,Balances!C126:G225,2)</f>
        <v>#N/A</v>
      </c>
      <c r="D128" s="2"/>
      <c r="E128" s="2"/>
      <c r="F128" s="3"/>
      <c r="G128" s="2"/>
      <c r="H128" s="34"/>
      <c r="I128" s="34"/>
      <c r="J128" s="34"/>
    </row>
  </sheetData>
  <mergeCells count="1">
    <mergeCell ref="B5:J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8"/>
  <sheetViews>
    <sheetView workbookViewId="0">
      <selection activeCell="S9" sqref="S9"/>
    </sheetView>
  </sheetViews>
  <sheetFormatPr defaultRowHeight="15" x14ac:dyDescent="0.25"/>
  <cols>
    <col min="2" max="3" width="11.42578125" customWidth="1"/>
    <col min="4" max="4" width="12.5703125" customWidth="1"/>
    <col min="5" max="5" width="11" customWidth="1"/>
    <col min="6" max="6" width="11.85546875" customWidth="1"/>
    <col min="7" max="7" width="9" bestFit="1" customWidth="1"/>
    <col min="8" max="8" width="9.140625" customWidth="1"/>
    <col min="9" max="10" width="13" customWidth="1"/>
    <col min="13" max="13" width="12.5703125" bestFit="1" customWidth="1"/>
    <col min="14" max="14" width="12.5703125" customWidth="1"/>
    <col min="15" max="15" width="11.85546875" customWidth="1"/>
    <col min="17" max="17" width="12" customWidth="1"/>
    <col min="18" max="18" width="12.28515625" customWidth="1"/>
  </cols>
  <sheetData>
    <row r="1" spans="2:18" x14ac:dyDescent="0.25">
      <c r="B1" t="s">
        <v>16</v>
      </c>
      <c r="C1" t="s">
        <v>16</v>
      </c>
      <c r="D1" t="s">
        <v>18</v>
      </c>
      <c r="G1" t="s">
        <v>8</v>
      </c>
    </row>
    <row r="2" spans="2:18" x14ac:dyDescent="0.25">
      <c r="B2" t="s">
        <v>17</v>
      </c>
      <c r="C2" t="s">
        <v>17</v>
      </c>
      <c r="D2" t="s">
        <v>19</v>
      </c>
      <c r="G2" t="s">
        <v>9</v>
      </c>
    </row>
    <row r="3" spans="2:18" x14ac:dyDescent="0.25">
      <c r="B3" t="s">
        <v>19</v>
      </c>
      <c r="C3" t="s">
        <v>19</v>
      </c>
      <c r="G3" t="s">
        <v>19</v>
      </c>
    </row>
    <row r="5" spans="2:18" x14ac:dyDescent="0.25">
      <c r="B5" s="58" t="s">
        <v>30</v>
      </c>
      <c r="C5" s="58"/>
      <c r="D5" s="58"/>
      <c r="E5" s="58"/>
      <c r="F5" s="58"/>
      <c r="G5" s="58"/>
      <c r="H5" s="58"/>
      <c r="I5" s="8"/>
      <c r="J5" s="8"/>
      <c r="M5" s="59" t="s">
        <v>11</v>
      </c>
      <c r="N5" s="59"/>
      <c r="O5" s="59" t="s">
        <v>28</v>
      </c>
      <c r="P5" s="59"/>
      <c r="Q5" s="59"/>
      <c r="R5" s="59"/>
    </row>
    <row r="6" spans="2:18" s="1" customFormat="1" ht="39.75" customHeight="1" x14ac:dyDescent="0.25">
      <c r="B6" s="5" t="s">
        <v>1</v>
      </c>
      <c r="C6" s="5" t="s">
        <v>0</v>
      </c>
      <c r="D6" s="5" t="s">
        <v>2</v>
      </c>
      <c r="E6" s="5" t="s">
        <v>3</v>
      </c>
      <c r="F6" s="5" t="s">
        <v>4</v>
      </c>
      <c r="G6" s="5" t="s">
        <v>5</v>
      </c>
      <c r="H6" s="5" t="s">
        <v>6</v>
      </c>
      <c r="I6" s="9"/>
      <c r="J6" s="9"/>
      <c r="K6" s="1" t="s">
        <v>0</v>
      </c>
      <c r="L6" s="1" t="s">
        <v>15</v>
      </c>
      <c r="M6" s="1" t="s">
        <v>8</v>
      </c>
      <c r="N6" s="1" t="s">
        <v>9</v>
      </c>
      <c r="O6" s="1" t="s">
        <v>25</v>
      </c>
      <c r="P6" s="1" t="s">
        <v>26</v>
      </c>
      <c r="Q6" s="1" t="s">
        <v>27</v>
      </c>
      <c r="R6" s="1" t="s">
        <v>29</v>
      </c>
    </row>
    <row r="7" spans="2:18" x14ac:dyDescent="0.25">
      <c r="B7" s="2">
        <f>1</f>
        <v>1</v>
      </c>
      <c r="C7" s="2">
        <f t="shared" ref="C7:C11" ca="1" si="0">RANDBETWEEN(1,100)</f>
        <v>73</v>
      </c>
      <c r="D7" s="2" t="str">
        <f ca="1">IF(E7=1, "Deposit",IF(E7=2, "Withdrawal",IF(E7=3, "Payment",)))</f>
        <v>Deposit</v>
      </c>
      <c r="E7" s="2">
        <f ca="1">RANDBETWEEN(1,3)</f>
        <v>1</v>
      </c>
      <c r="F7" s="3">
        <f t="shared" ref="F7:F38" ca="1" si="1">IF(G7="Checking",RAND()*VLOOKUP($C7,$K$6:$O$106,3),IF(G7="Savings",RAND()*VLOOKUP($C7,$K$6:$O$106,4),IF(G7="Loan",RANDBETWEEN(100,700))))</f>
        <v>2806.0247902224091</v>
      </c>
      <c r="G7" s="2" t="str">
        <f t="shared" ref="G7:G38" ca="1" si="2">IF(E7=3,"Loan",IF(H7=1, "Checking",IF(H7=2, "Savings")))</f>
        <v>Checking</v>
      </c>
      <c r="H7" s="2">
        <f ca="1">IF(D7="Payment",3,RANDBETWEEN(1,2))</f>
        <v>1</v>
      </c>
      <c r="I7" s="10"/>
      <c r="J7" s="10"/>
      <c r="K7">
        <f>1</f>
        <v>1</v>
      </c>
      <c r="L7">
        <f ca="1">RANDBETWEEN(1,5)</f>
        <v>5</v>
      </c>
      <c r="M7" s="4">
        <f ca="1">RANDBETWEEN(0,10000)</f>
        <v>7027</v>
      </c>
      <c r="N7" s="4">
        <f ca="1">IF($L7=1,RANDBETWEEN(50000,150000),IF($L7=2,RANDBETWEEN(75000,175000),IF($L7=3,RANDBETWEEN(25000,125000),IF($L7=4,RANDBETWEEN(100000,150000),IF($L7=5,RANDBETWEEN(150000,200000))))))</f>
        <v>185586</v>
      </c>
      <c r="O7" s="4">
        <f ca="1">RANDBETWEEN(10000,60000)</f>
        <v>23286</v>
      </c>
      <c r="P7">
        <f ca="1">IF(RANDBETWEEN(1,3)=1,48,IF(RANDBETWEEN(1,2)=1,60,72))</f>
        <v>60</v>
      </c>
      <c r="Q7" s="22">
        <f ca="1">O7/P7</f>
        <v>388.1</v>
      </c>
      <c r="R7" s="22">
        <f ca="1">O7-(RANDBETWEEN(1,$P7)*Q7)</f>
        <v>13583.5</v>
      </c>
    </row>
    <row r="8" spans="2:18" x14ac:dyDescent="0.25">
      <c r="B8" s="2">
        <f>B7+1</f>
        <v>2</v>
      </c>
      <c r="C8" s="2">
        <f t="shared" ca="1" si="0"/>
        <v>69</v>
      </c>
      <c r="D8" s="2" t="str">
        <f t="shared" ref="D8:D71" ca="1" si="3">IF(E8=1, "Deposit",IF(E8=2, "Withdrawal",IF(E8=3, "Payment",)))</f>
        <v>Payment</v>
      </c>
      <c r="E8" s="2">
        <f t="shared" ref="E8:E71" ca="1" si="4">RANDBETWEEN(1,3)</f>
        <v>3</v>
      </c>
      <c r="F8" s="3">
        <f t="shared" ca="1" si="1"/>
        <v>505</v>
      </c>
      <c r="G8" s="2" t="str">
        <f t="shared" ca="1" si="2"/>
        <v>Loan</v>
      </c>
      <c r="H8" s="2">
        <f t="shared" ref="H8:H71" ca="1" si="5">IF(D8="Payment",3,RANDBETWEEN(1,2))</f>
        <v>3</v>
      </c>
      <c r="I8" s="10"/>
      <c r="J8" s="10"/>
      <c r="K8">
        <f>K7+1</f>
        <v>2</v>
      </c>
      <c r="L8">
        <f t="shared" ref="L8:L71" ca="1" si="6">RANDBETWEEN(1,5)</f>
        <v>2</v>
      </c>
      <c r="M8" s="4">
        <f t="shared" ref="M8:M71" ca="1" si="7">RANDBETWEEN(0,10000)</f>
        <v>5952</v>
      </c>
      <c r="N8" s="4">
        <f t="shared" ref="N8:N71" ca="1" si="8">IF($L8=1,RANDBETWEEN(50000,150000),IF($L8=2,RANDBETWEEN(75000,175000),IF($L8=3,RANDBETWEEN(25000,125000),IF($L8=4,RANDBETWEEN(100000,150000),IF($L8=5,RANDBETWEEN(150000,200000))))))</f>
        <v>102954</v>
      </c>
      <c r="O8" s="4">
        <f t="shared" ref="O8:O71" ca="1" si="9">RANDBETWEEN(10000,60000)</f>
        <v>58911</v>
      </c>
      <c r="P8">
        <f t="shared" ref="P8:P71" ca="1" si="10">IF(RANDBETWEEN(1,3)=1,48,IF(RANDBETWEEN(1,2)=1,60,72))</f>
        <v>72</v>
      </c>
      <c r="Q8" s="22">
        <f t="shared" ref="Q8:Q71" ca="1" si="11">O8/P8</f>
        <v>818.20833333333337</v>
      </c>
      <c r="R8" s="22">
        <f t="shared" ref="R8:R71" ca="1" si="12">O8-(RANDBETWEEN(1,$P8)*Q8)</f>
        <v>20455.208333333328</v>
      </c>
    </row>
    <row r="9" spans="2:18" x14ac:dyDescent="0.25">
      <c r="B9" s="2">
        <f t="shared" ref="B9:B72" si="13">B8+1</f>
        <v>3</v>
      </c>
      <c r="C9" s="2">
        <f t="shared" ca="1" si="0"/>
        <v>67</v>
      </c>
      <c r="D9" s="2" t="str">
        <f t="shared" ca="1" si="3"/>
        <v>Payment</v>
      </c>
      <c r="E9" s="2">
        <f t="shared" ca="1" si="4"/>
        <v>3</v>
      </c>
      <c r="F9" s="3">
        <f t="shared" ca="1" si="1"/>
        <v>657</v>
      </c>
      <c r="G9" s="2" t="str">
        <f t="shared" ca="1" si="2"/>
        <v>Loan</v>
      </c>
      <c r="H9" s="2">
        <f t="shared" ca="1" si="5"/>
        <v>3</v>
      </c>
      <c r="I9" s="10"/>
      <c r="J9" s="10"/>
      <c r="K9">
        <f t="shared" ref="K9:K72" si="14">K8+1</f>
        <v>3</v>
      </c>
      <c r="L9">
        <f t="shared" ca="1" si="6"/>
        <v>5</v>
      </c>
      <c r="M9" s="4">
        <f t="shared" ca="1" si="7"/>
        <v>5265</v>
      </c>
      <c r="N9" s="4">
        <f t="shared" ca="1" si="8"/>
        <v>197432</v>
      </c>
      <c r="O9" s="4">
        <f t="shared" ca="1" si="9"/>
        <v>46531</v>
      </c>
      <c r="P9">
        <f t="shared" ca="1" si="10"/>
        <v>48</v>
      </c>
      <c r="Q9" s="22">
        <f t="shared" ca="1" si="11"/>
        <v>969.39583333333337</v>
      </c>
      <c r="R9" s="22">
        <f t="shared" ca="1" si="12"/>
        <v>29081.875</v>
      </c>
    </row>
    <row r="10" spans="2:18" x14ac:dyDescent="0.25">
      <c r="B10" s="2">
        <f t="shared" si="13"/>
        <v>4</v>
      </c>
      <c r="C10" s="2">
        <f t="shared" ca="1" si="0"/>
        <v>100</v>
      </c>
      <c r="D10" s="2" t="str">
        <f t="shared" ca="1" si="3"/>
        <v>Withdrawal</v>
      </c>
      <c r="E10" s="2">
        <f t="shared" ca="1" si="4"/>
        <v>2</v>
      </c>
      <c r="F10" s="3">
        <f t="shared" ca="1" si="1"/>
        <v>35503.886389071326</v>
      </c>
      <c r="G10" s="2" t="str">
        <f t="shared" ca="1" si="2"/>
        <v>Savings</v>
      </c>
      <c r="H10" s="2">
        <f t="shared" ca="1" si="5"/>
        <v>2</v>
      </c>
      <c r="I10" s="10"/>
      <c r="J10" s="10"/>
      <c r="K10">
        <f t="shared" si="14"/>
        <v>4</v>
      </c>
      <c r="L10">
        <f t="shared" ca="1" si="6"/>
        <v>5</v>
      </c>
      <c r="M10" s="4">
        <f t="shared" ca="1" si="7"/>
        <v>5597</v>
      </c>
      <c r="N10" s="4">
        <f t="shared" ca="1" si="8"/>
        <v>190869</v>
      </c>
      <c r="O10" s="4">
        <f t="shared" ca="1" si="9"/>
        <v>55481</v>
      </c>
      <c r="P10">
        <f t="shared" ca="1" si="10"/>
        <v>60</v>
      </c>
      <c r="Q10" s="22">
        <f t="shared" ca="1" si="11"/>
        <v>924.68333333333328</v>
      </c>
      <c r="R10" s="22">
        <f t="shared" ca="1" si="12"/>
        <v>29589.866666666669</v>
      </c>
    </row>
    <row r="11" spans="2:18" x14ac:dyDescent="0.25">
      <c r="B11" s="2">
        <f t="shared" si="13"/>
        <v>5</v>
      </c>
      <c r="C11" s="2">
        <f t="shared" ca="1" si="0"/>
        <v>76</v>
      </c>
      <c r="D11" s="2" t="str">
        <f t="shared" ca="1" si="3"/>
        <v>Deposit</v>
      </c>
      <c r="E11" s="2">
        <f t="shared" ca="1" si="4"/>
        <v>1</v>
      </c>
      <c r="F11" s="3">
        <f t="shared" ca="1" si="1"/>
        <v>1282.7572205044594</v>
      </c>
      <c r="G11" s="2" t="str">
        <f t="shared" ca="1" si="2"/>
        <v>Checking</v>
      </c>
      <c r="H11" s="2">
        <f t="shared" ca="1" si="5"/>
        <v>1</v>
      </c>
      <c r="I11" s="10"/>
      <c r="J11" s="10"/>
      <c r="K11">
        <f t="shared" si="14"/>
        <v>5</v>
      </c>
      <c r="L11">
        <f t="shared" ca="1" si="6"/>
        <v>3</v>
      </c>
      <c r="M11" s="4">
        <f t="shared" ca="1" si="7"/>
        <v>8802</v>
      </c>
      <c r="N11" s="4">
        <f t="shared" ca="1" si="8"/>
        <v>111435</v>
      </c>
      <c r="O11" s="4">
        <f t="shared" ca="1" si="9"/>
        <v>47772</v>
      </c>
      <c r="P11">
        <f t="shared" ca="1" si="10"/>
        <v>48</v>
      </c>
      <c r="Q11" s="22">
        <f t="shared" ca="1" si="11"/>
        <v>995.25</v>
      </c>
      <c r="R11" s="22">
        <f t="shared" ca="1" si="12"/>
        <v>4976.25</v>
      </c>
    </row>
    <row r="12" spans="2:18" x14ac:dyDescent="0.25">
      <c r="B12" s="2">
        <f t="shared" si="13"/>
        <v>6</v>
      </c>
      <c r="C12" s="2">
        <f t="shared" ref="C12:C71" ca="1" si="15">RANDBETWEEN(1,100)</f>
        <v>18</v>
      </c>
      <c r="D12" s="2" t="str">
        <f t="shared" ca="1" si="3"/>
        <v>Payment</v>
      </c>
      <c r="E12" s="2">
        <f t="shared" ca="1" si="4"/>
        <v>3</v>
      </c>
      <c r="F12" s="3">
        <f t="shared" ca="1" si="1"/>
        <v>262</v>
      </c>
      <c r="G12" s="2" t="str">
        <f t="shared" ca="1" si="2"/>
        <v>Loan</v>
      </c>
      <c r="H12" s="2">
        <f t="shared" ca="1" si="5"/>
        <v>3</v>
      </c>
      <c r="I12" s="10"/>
      <c r="J12" s="10"/>
      <c r="K12">
        <f t="shared" si="14"/>
        <v>6</v>
      </c>
      <c r="L12">
        <f t="shared" ca="1" si="6"/>
        <v>1</v>
      </c>
      <c r="M12" s="4">
        <f t="shared" ca="1" si="7"/>
        <v>8559</v>
      </c>
      <c r="N12" s="4">
        <f t="shared" ca="1" si="8"/>
        <v>62495</v>
      </c>
      <c r="O12" s="4">
        <f t="shared" ca="1" si="9"/>
        <v>51413</v>
      </c>
      <c r="P12">
        <f t="shared" ca="1" si="10"/>
        <v>72</v>
      </c>
      <c r="Q12" s="22">
        <f t="shared" ca="1" si="11"/>
        <v>714.06944444444446</v>
      </c>
      <c r="R12" s="22">
        <f t="shared" ca="1" si="12"/>
        <v>44272.305555555555</v>
      </c>
    </row>
    <row r="13" spans="2:18" x14ac:dyDescent="0.25">
      <c r="B13" s="2">
        <f t="shared" si="13"/>
        <v>7</v>
      </c>
      <c r="C13" s="2">
        <f t="shared" ca="1" si="15"/>
        <v>43</v>
      </c>
      <c r="D13" s="2" t="str">
        <f t="shared" ca="1" si="3"/>
        <v>Payment</v>
      </c>
      <c r="E13" s="2">
        <f t="shared" ca="1" si="4"/>
        <v>3</v>
      </c>
      <c r="F13" s="3">
        <f t="shared" ca="1" si="1"/>
        <v>346</v>
      </c>
      <c r="G13" s="2" t="str">
        <f t="shared" ca="1" si="2"/>
        <v>Loan</v>
      </c>
      <c r="H13" s="2">
        <f t="shared" ca="1" si="5"/>
        <v>3</v>
      </c>
      <c r="I13" s="10"/>
      <c r="J13" s="10"/>
      <c r="K13">
        <f t="shared" si="14"/>
        <v>7</v>
      </c>
      <c r="L13">
        <f t="shared" ca="1" si="6"/>
        <v>3</v>
      </c>
      <c r="M13" s="4">
        <f t="shared" ca="1" si="7"/>
        <v>3929</v>
      </c>
      <c r="N13" s="4">
        <f t="shared" ca="1" si="8"/>
        <v>51170</v>
      </c>
      <c r="O13" s="4">
        <f t="shared" ca="1" si="9"/>
        <v>44578</v>
      </c>
      <c r="P13">
        <f t="shared" ca="1" si="10"/>
        <v>48</v>
      </c>
      <c r="Q13" s="22">
        <f t="shared" ca="1" si="11"/>
        <v>928.70833333333337</v>
      </c>
      <c r="R13" s="22">
        <f t="shared" ca="1" si="12"/>
        <v>14859.333333333332</v>
      </c>
    </row>
    <row r="14" spans="2:18" x14ac:dyDescent="0.25">
      <c r="B14" s="2">
        <f t="shared" si="13"/>
        <v>8</v>
      </c>
      <c r="C14" s="2">
        <f t="shared" ca="1" si="15"/>
        <v>66</v>
      </c>
      <c r="D14" s="2" t="str">
        <f t="shared" ca="1" si="3"/>
        <v>Deposit</v>
      </c>
      <c r="E14" s="2">
        <f t="shared" ca="1" si="4"/>
        <v>1</v>
      </c>
      <c r="F14" s="3">
        <f t="shared" ca="1" si="1"/>
        <v>64204.839417652598</v>
      </c>
      <c r="G14" s="2" t="str">
        <f t="shared" ca="1" si="2"/>
        <v>Savings</v>
      </c>
      <c r="H14" s="2">
        <f t="shared" ca="1" si="5"/>
        <v>2</v>
      </c>
      <c r="I14" s="10"/>
      <c r="J14" s="10"/>
      <c r="K14">
        <f t="shared" si="14"/>
        <v>8</v>
      </c>
      <c r="L14">
        <f t="shared" ca="1" si="6"/>
        <v>3</v>
      </c>
      <c r="M14" s="4">
        <f t="shared" ca="1" si="7"/>
        <v>290</v>
      </c>
      <c r="N14" s="4">
        <f t="shared" ca="1" si="8"/>
        <v>38656</v>
      </c>
      <c r="O14" s="4">
        <f t="shared" ca="1" si="9"/>
        <v>54420</v>
      </c>
      <c r="P14">
        <f t="shared" ca="1" si="10"/>
        <v>72</v>
      </c>
      <c r="Q14" s="22">
        <f t="shared" ca="1" si="11"/>
        <v>755.83333333333337</v>
      </c>
      <c r="R14" s="22">
        <f t="shared" ca="1" si="12"/>
        <v>51396.666666666664</v>
      </c>
    </row>
    <row r="15" spans="2:18" x14ac:dyDescent="0.25">
      <c r="B15" s="2">
        <f t="shared" si="13"/>
        <v>9</v>
      </c>
      <c r="C15" s="2">
        <f t="shared" ca="1" si="15"/>
        <v>50</v>
      </c>
      <c r="D15" s="2" t="str">
        <f t="shared" ca="1" si="3"/>
        <v>Deposit</v>
      </c>
      <c r="E15" s="2">
        <f t="shared" ca="1" si="4"/>
        <v>1</v>
      </c>
      <c r="F15" s="3">
        <f t="shared" ca="1" si="1"/>
        <v>47645.325156645922</v>
      </c>
      <c r="G15" s="2" t="str">
        <f t="shared" ca="1" si="2"/>
        <v>Savings</v>
      </c>
      <c r="H15" s="2">
        <f t="shared" ca="1" si="5"/>
        <v>2</v>
      </c>
      <c r="I15" s="10"/>
      <c r="J15" s="10"/>
      <c r="K15">
        <f t="shared" si="14"/>
        <v>9</v>
      </c>
      <c r="L15">
        <f t="shared" ca="1" si="6"/>
        <v>4</v>
      </c>
      <c r="M15" s="4">
        <f t="shared" ca="1" si="7"/>
        <v>1863</v>
      </c>
      <c r="N15" s="4">
        <f t="shared" ca="1" si="8"/>
        <v>138443</v>
      </c>
      <c r="O15" s="4">
        <f t="shared" ca="1" si="9"/>
        <v>44543</v>
      </c>
      <c r="P15">
        <f t="shared" ca="1" si="10"/>
        <v>48</v>
      </c>
      <c r="Q15" s="22">
        <f t="shared" ca="1" si="11"/>
        <v>927.97916666666663</v>
      </c>
      <c r="R15" s="22">
        <f t="shared" ca="1" si="12"/>
        <v>16703.625</v>
      </c>
    </row>
    <row r="16" spans="2:18" x14ac:dyDescent="0.25">
      <c r="B16" s="2">
        <f t="shared" si="13"/>
        <v>10</v>
      </c>
      <c r="C16" s="2">
        <f t="shared" ca="1" si="15"/>
        <v>3</v>
      </c>
      <c r="D16" s="2" t="str">
        <f t="shared" ca="1" si="3"/>
        <v>Withdrawal</v>
      </c>
      <c r="E16" s="2">
        <f t="shared" ca="1" si="4"/>
        <v>2</v>
      </c>
      <c r="F16" s="3">
        <f t="shared" ca="1" si="1"/>
        <v>4662.8539091662888</v>
      </c>
      <c r="G16" s="2" t="str">
        <f t="shared" ca="1" si="2"/>
        <v>Checking</v>
      </c>
      <c r="H16" s="2">
        <f t="shared" ca="1" si="5"/>
        <v>1</v>
      </c>
      <c r="I16" s="10"/>
      <c r="J16" s="10"/>
      <c r="K16">
        <f t="shared" si="14"/>
        <v>10</v>
      </c>
      <c r="L16">
        <f t="shared" ca="1" si="6"/>
        <v>5</v>
      </c>
      <c r="M16" s="4">
        <f t="shared" ca="1" si="7"/>
        <v>3183</v>
      </c>
      <c r="N16" s="4">
        <f t="shared" ca="1" si="8"/>
        <v>195830</v>
      </c>
      <c r="O16" s="4">
        <f t="shared" ca="1" si="9"/>
        <v>15341</v>
      </c>
      <c r="P16">
        <f t="shared" ca="1" si="10"/>
        <v>60</v>
      </c>
      <c r="Q16" s="22">
        <f t="shared" ca="1" si="11"/>
        <v>255.68333333333334</v>
      </c>
      <c r="R16" s="22">
        <f t="shared" ca="1" si="12"/>
        <v>9204.6</v>
      </c>
    </row>
    <row r="17" spans="2:18" x14ac:dyDescent="0.25">
      <c r="B17" s="2">
        <f t="shared" si="13"/>
        <v>11</v>
      </c>
      <c r="C17" s="2">
        <f t="shared" ca="1" si="15"/>
        <v>54</v>
      </c>
      <c r="D17" s="2" t="str">
        <f t="shared" ca="1" si="3"/>
        <v>Withdrawal</v>
      </c>
      <c r="E17" s="2">
        <f t="shared" ca="1" si="4"/>
        <v>2</v>
      </c>
      <c r="F17" s="3">
        <f t="shared" ca="1" si="1"/>
        <v>3572.0284898640875</v>
      </c>
      <c r="G17" s="2" t="str">
        <f t="shared" ca="1" si="2"/>
        <v>Checking</v>
      </c>
      <c r="H17" s="2">
        <f t="shared" ca="1" si="5"/>
        <v>1</v>
      </c>
      <c r="I17" s="10"/>
      <c r="J17" s="10"/>
      <c r="K17">
        <f t="shared" si="14"/>
        <v>11</v>
      </c>
      <c r="L17">
        <f t="shared" ca="1" si="6"/>
        <v>2</v>
      </c>
      <c r="M17" s="4">
        <f t="shared" ca="1" si="7"/>
        <v>6754</v>
      </c>
      <c r="N17" s="4">
        <f t="shared" ca="1" si="8"/>
        <v>167284</v>
      </c>
      <c r="O17" s="4">
        <f t="shared" ca="1" si="9"/>
        <v>39269</v>
      </c>
      <c r="P17">
        <f t="shared" ca="1" si="10"/>
        <v>48</v>
      </c>
      <c r="Q17" s="22">
        <f t="shared" ca="1" si="11"/>
        <v>818.10416666666663</v>
      </c>
      <c r="R17" s="22">
        <f t="shared" ca="1" si="12"/>
        <v>28633.645833333336</v>
      </c>
    </row>
    <row r="18" spans="2:18" x14ac:dyDescent="0.25">
      <c r="B18" s="2">
        <f t="shared" si="13"/>
        <v>12</v>
      </c>
      <c r="C18" s="2">
        <f t="shared" ca="1" si="15"/>
        <v>34</v>
      </c>
      <c r="D18" s="2" t="str">
        <f t="shared" ca="1" si="3"/>
        <v>Payment</v>
      </c>
      <c r="E18" s="2">
        <f t="shared" ca="1" si="4"/>
        <v>3</v>
      </c>
      <c r="F18" s="3">
        <f t="shared" ca="1" si="1"/>
        <v>428</v>
      </c>
      <c r="G18" s="2" t="str">
        <f t="shared" ca="1" si="2"/>
        <v>Loan</v>
      </c>
      <c r="H18" s="2">
        <f t="shared" ca="1" si="5"/>
        <v>3</v>
      </c>
      <c r="I18" s="10"/>
      <c r="J18" s="10"/>
      <c r="K18">
        <f t="shared" si="14"/>
        <v>12</v>
      </c>
      <c r="L18">
        <f t="shared" ca="1" si="6"/>
        <v>4</v>
      </c>
      <c r="M18" s="4">
        <f t="shared" ca="1" si="7"/>
        <v>3601</v>
      </c>
      <c r="N18" s="4">
        <f t="shared" ca="1" si="8"/>
        <v>132994</v>
      </c>
      <c r="O18" s="4">
        <f t="shared" ca="1" si="9"/>
        <v>48504</v>
      </c>
      <c r="P18">
        <f t="shared" ca="1" si="10"/>
        <v>72</v>
      </c>
      <c r="Q18" s="22">
        <f t="shared" ca="1" si="11"/>
        <v>673.66666666666663</v>
      </c>
      <c r="R18" s="22">
        <f t="shared" ca="1" si="12"/>
        <v>17515.333333333336</v>
      </c>
    </row>
    <row r="19" spans="2:18" x14ac:dyDescent="0.25">
      <c r="B19" s="2">
        <f t="shared" si="13"/>
        <v>13</v>
      </c>
      <c r="C19" s="2">
        <f t="shared" ca="1" si="15"/>
        <v>59</v>
      </c>
      <c r="D19" s="2" t="str">
        <f t="shared" ca="1" si="3"/>
        <v>Deposit</v>
      </c>
      <c r="E19" s="2">
        <f t="shared" ca="1" si="4"/>
        <v>1</v>
      </c>
      <c r="F19" s="3">
        <f t="shared" ca="1" si="1"/>
        <v>7543.8132740976052</v>
      </c>
      <c r="G19" s="2" t="str">
        <f t="shared" ca="1" si="2"/>
        <v>Checking</v>
      </c>
      <c r="H19" s="2">
        <f t="shared" ca="1" si="5"/>
        <v>1</v>
      </c>
      <c r="I19" s="10"/>
      <c r="J19" s="10"/>
      <c r="K19">
        <f t="shared" si="14"/>
        <v>13</v>
      </c>
      <c r="L19">
        <f t="shared" ca="1" si="6"/>
        <v>3</v>
      </c>
      <c r="M19" s="4">
        <f t="shared" ca="1" si="7"/>
        <v>8747</v>
      </c>
      <c r="N19" s="4">
        <f t="shared" ca="1" si="8"/>
        <v>122800</v>
      </c>
      <c r="O19" s="4">
        <f t="shared" ca="1" si="9"/>
        <v>35951</v>
      </c>
      <c r="P19">
        <f t="shared" ca="1" si="10"/>
        <v>48</v>
      </c>
      <c r="Q19" s="22">
        <f t="shared" ca="1" si="11"/>
        <v>748.97916666666663</v>
      </c>
      <c r="R19" s="22">
        <f t="shared" ca="1" si="12"/>
        <v>23218.354166666668</v>
      </c>
    </row>
    <row r="20" spans="2:18" x14ac:dyDescent="0.25">
      <c r="B20" s="2">
        <f t="shared" si="13"/>
        <v>14</v>
      </c>
      <c r="C20" s="2">
        <f t="shared" ca="1" si="15"/>
        <v>20</v>
      </c>
      <c r="D20" s="2" t="str">
        <f t="shared" ca="1" si="3"/>
        <v>Payment</v>
      </c>
      <c r="E20" s="2">
        <f t="shared" ca="1" si="4"/>
        <v>3</v>
      </c>
      <c r="F20" s="3">
        <f t="shared" ca="1" si="1"/>
        <v>246</v>
      </c>
      <c r="G20" s="2" t="str">
        <f t="shared" ca="1" si="2"/>
        <v>Loan</v>
      </c>
      <c r="H20" s="2">
        <f t="shared" ca="1" si="5"/>
        <v>3</v>
      </c>
      <c r="I20" s="10"/>
      <c r="J20" s="10"/>
      <c r="K20">
        <f t="shared" si="14"/>
        <v>14</v>
      </c>
      <c r="L20">
        <f t="shared" ca="1" si="6"/>
        <v>4</v>
      </c>
      <c r="M20" s="4">
        <f t="shared" ca="1" si="7"/>
        <v>9098</v>
      </c>
      <c r="N20" s="4">
        <f t="shared" ca="1" si="8"/>
        <v>141259</v>
      </c>
      <c r="O20" s="4">
        <f t="shared" ca="1" si="9"/>
        <v>23357</v>
      </c>
      <c r="P20">
        <f t="shared" ca="1" si="10"/>
        <v>72</v>
      </c>
      <c r="Q20" s="22">
        <f t="shared" ca="1" si="11"/>
        <v>324.40277777777777</v>
      </c>
      <c r="R20" s="22">
        <f t="shared" ca="1" si="12"/>
        <v>16220.138888888889</v>
      </c>
    </row>
    <row r="21" spans="2:18" x14ac:dyDescent="0.25">
      <c r="B21" s="2">
        <f t="shared" si="13"/>
        <v>15</v>
      </c>
      <c r="C21" s="2">
        <f t="shared" ca="1" si="15"/>
        <v>17</v>
      </c>
      <c r="D21" s="2" t="str">
        <f t="shared" ca="1" si="3"/>
        <v>Withdrawal</v>
      </c>
      <c r="E21" s="2">
        <f t="shared" ca="1" si="4"/>
        <v>2</v>
      </c>
      <c r="F21" s="3">
        <f t="shared" ca="1" si="1"/>
        <v>59902.495932204736</v>
      </c>
      <c r="G21" s="2" t="str">
        <f t="shared" ca="1" si="2"/>
        <v>Savings</v>
      </c>
      <c r="H21" s="2">
        <f t="shared" ca="1" si="5"/>
        <v>2</v>
      </c>
      <c r="I21" s="10"/>
      <c r="J21" s="10"/>
      <c r="K21">
        <f t="shared" si="14"/>
        <v>15</v>
      </c>
      <c r="L21">
        <f t="shared" ca="1" si="6"/>
        <v>4</v>
      </c>
      <c r="M21" s="4">
        <f t="shared" ca="1" si="7"/>
        <v>4528</v>
      </c>
      <c r="N21" s="4">
        <f t="shared" ca="1" si="8"/>
        <v>130751</v>
      </c>
      <c r="O21" s="4">
        <f t="shared" ca="1" si="9"/>
        <v>55080</v>
      </c>
      <c r="P21">
        <f t="shared" ca="1" si="10"/>
        <v>72</v>
      </c>
      <c r="Q21" s="22">
        <f t="shared" ca="1" si="11"/>
        <v>765</v>
      </c>
      <c r="R21" s="22">
        <f t="shared" ca="1" si="12"/>
        <v>27540</v>
      </c>
    </row>
    <row r="22" spans="2:18" x14ac:dyDescent="0.25">
      <c r="B22" s="2">
        <f t="shared" si="13"/>
        <v>16</v>
      </c>
      <c r="C22" s="2">
        <f t="shared" ca="1" si="15"/>
        <v>83</v>
      </c>
      <c r="D22" s="2" t="str">
        <f t="shared" ca="1" si="3"/>
        <v>Deposit</v>
      </c>
      <c r="E22" s="2">
        <f t="shared" ca="1" si="4"/>
        <v>1</v>
      </c>
      <c r="F22" s="3">
        <f t="shared" ca="1" si="1"/>
        <v>1740.6245540099642</v>
      </c>
      <c r="G22" s="2" t="str">
        <f t="shared" ca="1" si="2"/>
        <v>Checking</v>
      </c>
      <c r="H22" s="2">
        <f t="shared" ca="1" si="5"/>
        <v>1</v>
      </c>
      <c r="I22" s="10"/>
      <c r="J22" s="10"/>
      <c r="K22">
        <f t="shared" si="14"/>
        <v>16</v>
      </c>
      <c r="L22">
        <f t="shared" ca="1" si="6"/>
        <v>3</v>
      </c>
      <c r="M22" s="4">
        <f t="shared" ca="1" si="7"/>
        <v>9261</v>
      </c>
      <c r="N22" s="4">
        <f t="shared" ca="1" si="8"/>
        <v>102368</v>
      </c>
      <c r="O22" s="4">
        <f t="shared" ca="1" si="9"/>
        <v>57834</v>
      </c>
      <c r="P22">
        <f t="shared" ca="1" si="10"/>
        <v>48</v>
      </c>
      <c r="Q22" s="22">
        <f t="shared" ca="1" si="11"/>
        <v>1204.875</v>
      </c>
      <c r="R22" s="22">
        <f t="shared" ca="1" si="12"/>
        <v>20482.875</v>
      </c>
    </row>
    <row r="23" spans="2:18" x14ac:dyDescent="0.25">
      <c r="B23" s="2">
        <f t="shared" si="13"/>
        <v>17</v>
      </c>
      <c r="C23" s="2">
        <f t="shared" ca="1" si="15"/>
        <v>68</v>
      </c>
      <c r="D23" s="2" t="str">
        <f t="shared" ca="1" si="3"/>
        <v>Withdrawal</v>
      </c>
      <c r="E23" s="2">
        <f t="shared" ca="1" si="4"/>
        <v>2</v>
      </c>
      <c r="F23" s="3">
        <f t="shared" ca="1" si="1"/>
        <v>3878.235752124991</v>
      </c>
      <c r="G23" s="2" t="str">
        <f t="shared" ca="1" si="2"/>
        <v>Savings</v>
      </c>
      <c r="H23" s="2">
        <f t="shared" ca="1" si="5"/>
        <v>2</v>
      </c>
      <c r="I23" s="10"/>
      <c r="J23" s="10"/>
      <c r="K23">
        <f t="shared" si="14"/>
        <v>17</v>
      </c>
      <c r="L23">
        <f t="shared" ca="1" si="6"/>
        <v>5</v>
      </c>
      <c r="M23" s="4">
        <f t="shared" ca="1" si="7"/>
        <v>9067</v>
      </c>
      <c r="N23" s="4">
        <f t="shared" ca="1" si="8"/>
        <v>182520</v>
      </c>
      <c r="O23" s="4">
        <f t="shared" ca="1" si="9"/>
        <v>57396</v>
      </c>
      <c r="P23">
        <f t="shared" ca="1" si="10"/>
        <v>60</v>
      </c>
      <c r="Q23" s="22">
        <f t="shared" ca="1" si="11"/>
        <v>956.6</v>
      </c>
      <c r="R23" s="22">
        <f t="shared" ca="1" si="12"/>
        <v>20088.599999999999</v>
      </c>
    </row>
    <row r="24" spans="2:18" x14ac:dyDescent="0.25">
      <c r="B24" s="2">
        <f t="shared" si="13"/>
        <v>18</v>
      </c>
      <c r="C24" s="2">
        <f t="shared" ca="1" si="15"/>
        <v>18</v>
      </c>
      <c r="D24" s="2" t="str">
        <f t="shared" ca="1" si="3"/>
        <v>Withdrawal</v>
      </c>
      <c r="E24" s="2">
        <f t="shared" ca="1" si="4"/>
        <v>2</v>
      </c>
      <c r="F24" s="3">
        <f t="shared" ca="1" si="1"/>
        <v>41494.907425683807</v>
      </c>
      <c r="G24" s="2" t="str">
        <f t="shared" ca="1" si="2"/>
        <v>Savings</v>
      </c>
      <c r="H24" s="2">
        <f t="shared" ca="1" si="5"/>
        <v>2</v>
      </c>
      <c r="I24" s="10"/>
      <c r="J24" s="10"/>
      <c r="K24">
        <f t="shared" si="14"/>
        <v>18</v>
      </c>
      <c r="L24">
        <f t="shared" ca="1" si="6"/>
        <v>2</v>
      </c>
      <c r="M24" s="4">
        <f t="shared" ca="1" si="7"/>
        <v>836</v>
      </c>
      <c r="N24" s="4">
        <f t="shared" ca="1" si="8"/>
        <v>163167</v>
      </c>
      <c r="O24" s="4">
        <f t="shared" ca="1" si="9"/>
        <v>56228</v>
      </c>
      <c r="P24">
        <f t="shared" ca="1" si="10"/>
        <v>60</v>
      </c>
      <c r="Q24" s="22">
        <f t="shared" ca="1" si="11"/>
        <v>937.13333333333333</v>
      </c>
      <c r="R24" s="22">
        <f t="shared" ca="1" si="12"/>
        <v>8434.1999999999971</v>
      </c>
    </row>
    <row r="25" spans="2:18" x14ac:dyDescent="0.25">
      <c r="B25" s="2">
        <f t="shared" si="13"/>
        <v>19</v>
      </c>
      <c r="C25" s="2">
        <f t="shared" ca="1" si="15"/>
        <v>53</v>
      </c>
      <c r="D25" s="2" t="str">
        <f t="shared" ca="1" si="3"/>
        <v>Withdrawal</v>
      </c>
      <c r="E25" s="2">
        <f t="shared" ca="1" si="4"/>
        <v>2</v>
      </c>
      <c r="F25" s="3">
        <f t="shared" ca="1" si="1"/>
        <v>2275.7234653766818</v>
      </c>
      <c r="G25" s="2" t="str">
        <f t="shared" ca="1" si="2"/>
        <v>Checking</v>
      </c>
      <c r="H25" s="2">
        <f t="shared" ca="1" si="5"/>
        <v>1</v>
      </c>
      <c r="I25" s="10"/>
      <c r="J25" s="10"/>
      <c r="K25">
        <f t="shared" si="14"/>
        <v>19</v>
      </c>
      <c r="L25">
        <f t="shared" ca="1" si="6"/>
        <v>5</v>
      </c>
      <c r="M25" s="4">
        <f t="shared" ca="1" si="7"/>
        <v>4368</v>
      </c>
      <c r="N25" s="4">
        <f t="shared" ca="1" si="8"/>
        <v>194270</v>
      </c>
      <c r="O25" s="4">
        <f t="shared" ca="1" si="9"/>
        <v>51032</v>
      </c>
      <c r="P25">
        <f t="shared" ca="1" si="10"/>
        <v>48</v>
      </c>
      <c r="Q25" s="22">
        <f t="shared" ca="1" si="11"/>
        <v>1063.1666666666667</v>
      </c>
      <c r="R25" s="22">
        <f t="shared" ca="1" si="12"/>
        <v>43589.833333333336</v>
      </c>
    </row>
    <row r="26" spans="2:18" x14ac:dyDescent="0.25">
      <c r="B26" s="2">
        <f t="shared" si="13"/>
        <v>20</v>
      </c>
      <c r="C26" s="2">
        <f t="shared" ca="1" si="15"/>
        <v>80</v>
      </c>
      <c r="D26" s="2" t="str">
        <f t="shared" ca="1" si="3"/>
        <v>Payment</v>
      </c>
      <c r="E26" s="2">
        <f t="shared" ca="1" si="4"/>
        <v>3</v>
      </c>
      <c r="F26" s="3">
        <f t="shared" ca="1" si="1"/>
        <v>540</v>
      </c>
      <c r="G26" s="2" t="str">
        <f t="shared" ca="1" si="2"/>
        <v>Loan</v>
      </c>
      <c r="H26" s="2">
        <f t="shared" ca="1" si="5"/>
        <v>3</v>
      </c>
      <c r="I26" s="10"/>
      <c r="J26" s="10"/>
      <c r="K26">
        <f t="shared" si="14"/>
        <v>20</v>
      </c>
      <c r="L26">
        <f t="shared" ca="1" si="6"/>
        <v>2</v>
      </c>
      <c r="M26" s="4">
        <f t="shared" ca="1" si="7"/>
        <v>7201</v>
      </c>
      <c r="N26" s="4">
        <f t="shared" ca="1" si="8"/>
        <v>134263</v>
      </c>
      <c r="O26" s="4">
        <f t="shared" ca="1" si="9"/>
        <v>38540</v>
      </c>
      <c r="P26">
        <f t="shared" ca="1" si="10"/>
        <v>48</v>
      </c>
      <c r="Q26" s="22">
        <f t="shared" ca="1" si="11"/>
        <v>802.91666666666663</v>
      </c>
      <c r="R26" s="22">
        <f t="shared" ca="1" si="12"/>
        <v>21678.75</v>
      </c>
    </row>
    <row r="27" spans="2:18" x14ac:dyDescent="0.25">
      <c r="B27" s="2">
        <f t="shared" si="13"/>
        <v>21</v>
      </c>
      <c r="C27" s="2">
        <f t="shared" ca="1" si="15"/>
        <v>65</v>
      </c>
      <c r="D27" s="2" t="str">
        <f t="shared" ca="1" si="3"/>
        <v>Withdrawal</v>
      </c>
      <c r="E27" s="2">
        <f t="shared" ca="1" si="4"/>
        <v>2</v>
      </c>
      <c r="F27" s="3">
        <f t="shared" ca="1" si="1"/>
        <v>5046.8707626871173</v>
      </c>
      <c r="G27" s="2" t="str">
        <f t="shared" ca="1" si="2"/>
        <v>Checking</v>
      </c>
      <c r="H27" s="2">
        <f t="shared" ca="1" si="5"/>
        <v>1</v>
      </c>
      <c r="I27" s="10"/>
      <c r="J27" s="10"/>
      <c r="K27">
        <f t="shared" si="14"/>
        <v>21</v>
      </c>
      <c r="L27">
        <f t="shared" ca="1" si="6"/>
        <v>1</v>
      </c>
      <c r="M27" s="4">
        <f t="shared" ca="1" si="7"/>
        <v>2447</v>
      </c>
      <c r="N27" s="4">
        <f t="shared" ca="1" si="8"/>
        <v>75239</v>
      </c>
      <c r="O27" s="4">
        <f t="shared" ca="1" si="9"/>
        <v>48444</v>
      </c>
      <c r="P27">
        <f t="shared" ca="1" si="10"/>
        <v>60</v>
      </c>
      <c r="Q27" s="22">
        <f t="shared" ca="1" si="11"/>
        <v>807.4</v>
      </c>
      <c r="R27" s="22">
        <f t="shared" ca="1" si="12"/>
        <v>31488.600000000002</v>
      </c>
    </row>
    <row r="28" spans="2:18" x14ac:dyDescent="0.25">
      <c r="B28" s="2">
        <f t="shared" si="13"/>
        <v>22</v>
      </c>
      <c r="C28" s="2">
        <f t="shared" ca="1" si="15"/>
        <v>71</v>
      </c>
      <c r="D28" s="2" t="str">
        <f t="shared" ca="1" si="3"/>
        <v>Withdrawal</v>
      </c>
      <c r="E28" s="2">
        <f t="shared" ca="1" si="4"/>
        <v>2</v>
      </c>
      <c r="F28" s="3">
        <f t="shared" ca="1" si="1"/>
        <v>5235.6953282868872</v>
      </c>
      <c r="G28" s="2" t="str">
        <f t="shared" ca="1" si="2"/>
        <v>Checking</v>
      </c>
      <c r="H28" s="2">
        <f t="shared" ca="1" si="5"/>
        <v>1</v>
      </c>
      <c r="I28" s="10"/>
      <c r="J28" s="10"/>
      <c r="K28">
        <f t="shared" si="14"/>
        <v>22</v>
      </c>
      <c r="L28">
        <f t="shared" ca="1" si="6"/>
        <v>3</v>
      </c>
      <c r="M28" s="4">
        <f t="shared" ca="1" si="7"/>
        <v>9113</v>
      </c>
      <c r="N28" s="4">
        <f t="shared" ca="1" si="8"/>
        <v>80729</v>
      </c>
      <c r="O28" s="4">
        <f t="shared" ca="1" si="9"/>
        <v>53852</v>
      </c>
      <c r="P28">
        <f t="shared" ca="1" si="10"/>
        <v>48</v>
      </c>
      <c r="Q28" s="22">
        <f t="shared" ca="1" si="11"/>
        <v>1121.9166666666667</v>
      </c>
      <c r="R28" s="22">
        <f t="shared" ca="1" si="12"/>
        <v>29169.833333333332</v>
      </c>
    </row>
    <row r="29" spans="2:18" x14ac:dyDescent="0.25">
      <c r="B29" s="2">
        <f t="shared" si="13"/>
        <v>23</v>
      </c>
      <c r="C29" s="2">
        <f t="shared" ca="1" si="15"/>
        <v>85</v>
      </c>
      <c r="D29" s="2" t="str">
        <f t="shared" ca="1" si="3"/>
        <v>Withdrawal</v>
      </c>
      <c r="E29" s="2">
        <f t="shared" ca="1" si="4"/>
        <v>2</v>
      </c>
      <c r="F29" s="3">
        <f t="shared" ca="1" si="1"/>
        <v>949.30149660243444</v>
      </c>
      <c r="G29" s="2" t="str">
        <f t="shared" ca="1" si="2"/>
        <v>Checking</v>
      </c>
      <c r="H29" s="2">
        <f t="shared" ca="1" si="5"/>
        <v>1</v>
      </c>
      <c r="I29" s="10"/>
      <c r="J29" s="10"/>
      <c r="K29">
        <f t="shared" si="14"/>
        <v>23</v>
      </c>
      <c r="L29">
        <f t="shared" ca="1" si="6"/>
        <v>4</v>
      </c>
      <c r="M29" s="4">
        <f t="shared" ca="1" si="7"/>
        <v>2294</v>
      </c>
      <c r="N29" s="4">
        <f t="shared" ca="1" si="8"/>
        <v>117477</v>
      </c>
      <c r="O29" s="4">
        <f t="shared" ca="1" si="9"/>
        <v>13512</v>
      </c>
      <c r="P29">
        <f t="shared" ca="1" si="10"/>
        <v>48</v>
      </c>
      <c r="Q29" s="22">
        <f t="shared" ca="1" si="11"/>
        <v>281.5</v>
      </c>
      <c r="R29" s="22">
        <f t="shared" ca="1" si="12"/>
        <v>10415.5</v>
      </c>
    </row>
    <row r="30" spans="2:18" x14ac:dyDescent="0.25">
      <c r="B30" s="2">
        <f t="shared" si="13"/>
        <v>24</v>
      </c>
      <c r="C30" s="2">
        <f t="shared" ca="1" si="15"/>
        <v>97</v>
      </c>
      <c r="D30" s="2" t="str">
        <f t="shared" ca="1" si="3"/>
        <v>Withdrawal</v>
      </c>
      <c r="E30" s="2">
        <f t="shared" ca="1" si="4"/>
        <v>2</v>
      </c>
      <c r="F30" s="3">
        <f t="shared" ca="1" si="1"/>
        <v>53799.431826130764</v>
      </c>
      <c r="G30" s="2" t="str">
        <f t="shared" ca="1" si="2"/>
        <v>Savings</v>
      </c>
      <c r="H30" s="2">
        <f t="shared" ca="1" si="5"/>
        <v>2</v>
      </c>
      <c r="I30" s="10"/>
      <c r="J30" s="10"/>
      <c r="K30">
        <f t="shared" si="14"/>
        <v>24</v>
      </c>
      <c r="L30">
        <f t="shared" ca="1" si="6"/>
        <v>5</v>
      </c>
      <c r="M30" s="4">
        <f t="shared" ca="1" si="7"/>
        <v>987</v>
      </c>
      <c r="N30" s="4">
        <f t="shared" ca="1" si="8"/>
        <v>180225</v>
      </c>
      <c r="O30" s="4">
        <f t="shared" ca="1" si="9"/>
        <v>36585</v>
      </c>
      <c r="P30">
        <f t="shared" ca="1" si="10"/>
        <v>48</v>
      </c>
      <c r="Q30" s="22">
        <f t="shared" ca="1" si="11"/>
        <v>762.1875</v>
      </c>
      <c r="R30" s="22">
        <f t="shared" ca="1" si="12"/>
        <v>9908.4375</v>
      </c>
    </row>
    <row r="31" spans="2:18" x14ac:dyDescent="0.25">
      <c r="B31" s="2">
        <f t="shared" si="13"/>
        <v>25</v>
      </c>
      <c r="C31" s="2">
        <f t="shared" ca="1" si="15"/>
        <v>10</v>
      </c>
      <c r="D31" s="2" t="str">
        <f t="shared" ca="1" si="3"/>
        <v>Deposit</v>
      </c>
      <c r="E31" s="2">
        <f t="shared" ca="1" si="4"/>
        <v>1</v>
      </c>
      <c r="F31" s="3">
        <f t="shared" ca="1" si="1"/>
        <v>178.26786436700172</v>
      </c>
      <c r="G31" s="2" t="str">
        <f t="shared" ca="1" si="2"/>
        <v>Checking</v>
      </c>
      <c r="H31" s="2">
        <f t="shared" ca="1" si="5"/>
        <v>1</v>
      </c>
      <c r="I31" s="10"/>
      <c r="J31" s="10"/>
      <c r="K31">
        <f t="shared" si="14"/>
        <v>25</v>
      </c>
      <c r="L31">
        <f t="shared" ca="1" si="6"/>
        <v>2</v>
      </c>
      <c r="M31" s="4">
        <f t="shared" ca="1" si="7"/>
        <v>8725</v>
      </c>
      <c r="N31" s="4">
        <f t="shared" ca="1" si="8"/>
        <v>91838</v>
      </c>
      <c r="O31" s="4">
        <f t="shared" ca="1" si="9"/>
        <v>53676</v>
      </c>
      <c r="P31">
        <f t="shared" ca="1" si="10"/>
        <v>72</v>
      </c>
      <c r="Q31" s="22">
        <f t="shared" ca="1" si="11"/>
        <v>745.5</v>
      </c>
      <c r="R31" s="22">
        <f t="shared" ca="1" si="12"/>
        <v>24601.5</v>
      </c>
    </row>
    <row r="32" spans="2:18" x14ac:dyDescent="0.25">
      <c r="B32" s="2">
        <f t="shared" si="13"/>
        <v>26</v>
      </c>
      <c r="C32" s="2">
        <f t="shared" ca="1" si="15"/>
        <v>67</v>
      </c>
      <c r="D32" s="2" t="str">
        <f t="shared" ca="1" si="3"/>
        <v>Deposit</v>
      </c>
      <c r="E32" s="2">
        <f t="shared" ca="1" si="4"/>
        <v>1</v>
      </c>
      <c r="F32" s="3">
        <f t="shared" ca="1" si="1"/>
        <v>1303.5413164532367</v>
      </c>
      <c r="G32" s="2" t="str">
        <f t="shared" ca="1" si="2"/>
        <v>Checking</v>
      </c>
      <c r="H32" s="2">
        <f t="shared" ca="1" si="5"/>
        <v>1</v>
      </c>
      <c r="I32" s="10"/>
      <c r="J32" s="10"/>
      <c r="K32">
        <f t="shared" si="14"/>
        <v>26</v>
      </c>
      <c r="L32">
        <f t="shared" ca="1" si="6"/>
        <v>2</v>
      </c>
      <c r="M32" s="4">
        <f t="shared" ca="1" si="7"/>
        <v>9821</v>
      </c>
      <c r="N32" s="4">
        <f t="shared" ca="1" si="8"/>
        <v>119781</v>
      </c>
      <c r="O32" s="4">
        <f t="shared" ca="1" si="9"/>
        <v>57707</v>
      </c>
      <c r="P32">
        <f t="shared" ca="1" si="10"/>
        <v>72</v>
      </c>
      <c r="Q32" s="22">
        <f t="shared" ca="1" si="11"/>
        <v>801.48611111111109</v>
      </c>
      <c r="R32" s="22">
        <f t="shared" ca="1" si="12"/>
        <v>8816.3472222222263</v>
      </c>
    </row>
    <row r="33" spans="2:18" x14ac:dyDescent="0.25">
      <c r="B33" s="2">
        <f t="shared" si="13"/>
        <v>27</v>
      </c>
      <c r="C33" s="2">
        <f t="shared" ca="1" si="15"/>
        <v>3</v>
      </c>
      <c r="D33" s="2" t="str">
        <f t="shared" ca="1" si="3"/>
        <v>Deposit</v>
      </c>
      <c r="E33" s="2">
        <f t="shared" ca="1" si="4"/>
        <v>1</v>
      </c>
      <c r="F33" s="3">
        <f t="shared" ca="1" si="1"/>
        <v>73770.789384181291</v>
      </c>
      <c r="G33" s="2" t="str">
        <f t="shared" ca="1" si="2"/>
        <v>Savings</v>
      </c>
      <c r="H33" s="2">
        <f t="shared" ca="1" si="5"/>
        <v>2</v>
      </c>
      <c r="I33" s="10"/>
      <c r="J33" s="10"/>
      <c r="K33">
        <f t="shared" si="14"/>
        <v>27</v>
      </c>
      <c r="L33">
        <f t="shared" ca="1" si="6"/>
        <v>3</v>
      </c>
      <c r="M33" s="4">
        <f t="shared" ca="1" si="7"/>
        <v>6614</v>
      </c>
      <c r="N33" s="4">
        <f t="shared" ca="1" si="8"/>
        <v>40987</v>
      </c>
      <c r="O33" s="4">
        <f t="shared" ca="1" si="9"/>
        <v>59387</v>
      </c>
      <c r="P33">
        <f t="shared" ca="1" si="10"/>
        <v>48</v>
      </c>
      <c r="Q33" s="22">
        <f t="shared" ca="1" si="11"/>
        <v>1237.2291666666667</v>
      </c>
      <c r="R33" s="22">
        <f t="shared" ca="1" si="12"/>
        <v>22270.125</v>
      </c>
    </row>
    <row r="34" spans="2:18" x14ac:dyDescent="0.25">
      <c r="B34" s="2">
        <f t="shared" si="13"/>
        <v>28</v>
      </c>
      <c r="C34" s="2">
        <f t="shared" ca="1" si="15"/>
        <v>13</v>
      </c>
      <c r="D34" s="2" t="str">
        <f t="shared" ca="1" si="3"/>
        <v>Payment</v>
      </c>
      <c r="E34" s="2">
        <f t="shared" ca="1" si="4"/>
        <v>3</v>
      </c>
      <c r="F34" s="3">
        <f t="shared" ca="1" si="1"/>
        <v>342</v>
      </c>
      <c r="G34" s="2" t="str">
        <f t="shared" ca="1" si="2"/>
        <v>Loan</v>
      </c>
      <c r="H34" s="2">
        <f t="shared" ca="1" si="5"/>
        <v>3</v>
      </c>
      <c r="I34" s="10"/>
      <c r="J34" s="10"/>
      <c r="K34">
        <f t="shared" si="14"/>
        <v>28</v>
      </c>
      <c r="L34">
        <f t="shared" ca="1" si="6"/>
        <v>3</v>
      </c>
      <c r="M34" s="4">
        <f t="shared" ca="1" si="7"/>
        <v>6036</v>
      </c>
      <c r="N34" s="4">
        <f t="shared" ca="1" si="8"/>
        <v>90945</v>
      </c>
      <c r="O34" s="4">
        <f t="shared" ca="1" si="9"/>
        <v>29539</v>
      </c>
      <c r="P34">
        <f t="shared" ca="1" si="10"/>
        <v>48</v>
      </c>
      <c r="Q34" s="22">
        <f t="shared" ca="1" si="11"/>
        <v>615.39583333333337</v>
      </c>
      <c r="R34" s="22">
        <f t="shared" ca="1" si="12"/>
        <v>3692.375</v>
      </c>
    </row>
    <row r="35" spans="2:18" x14ac:dyDescent="0.25">
      <c r="B35" s="2">
        <f t="shared" si="13"/>
        <v>29</v>
      </c>
      <c r="C35" s="2">
        <f t="shared" ca="1" si="15"/>
        <v>15</v>
      </c>
      <c r="D35" s="2" t="str">
        <f t="shared" ca="1" si="3"/>
        <v>Payment</v>
      </c>
      <c r="E35" s="2">
        <f t="shared" ca="1" si="4"/>
        <v>3</v>
      </c>
      <c r="F35" s="3">
        <f t="shared" ca="1" si="1"/>
        <v>167</v>
      </c>
      <c r="G35" s="2" t="str">
        <f t="shared" ca="1" si="2"/>
        <v>Loan</v>
      </c>
      <c r="H35" s="2">
        <f t="shared" ca="1" si="5"/>
        <v>3</v>
      </c>
      <c r="I35" s="10"/>
      <c r="J35" s="10"/>
      <c r="K35">
        <f t="shared" si="14"/>
        <v>29</v>
      </c>
      <c r="L35">
        <f t="shared" ca="1" si="6"/>
        <v>3</v>
      </c>
      <c r="M35" s="4">
        <f t="shared" ca="1" si="7"/>
        <v>5121</v>
      </c>
      <c r="N35" s="4">
        <f t="shared" ca="1" si="8"/>
        <v>122160</v>
      </c>
      <c r="O35" s="4">
        <f t="shared" ca="1" si="9"/>
        <v>40176</v>
      </c>
      <c r="P35">
        <f t="shared" ca="1" si="10"/>
        <v>60</v>
      </c>
      <c r="Q35" s="22">
        <f t="shared" ca="1" si="11"/>
        <v>669.6</v>
      </c>
      <c r="R35" s="22">
        <f t="shared" ca="1" si="12"/>
        <v>8704.7999999999993</v>
      </c>
    </row>
    <row r="36" spans="2:18" x14ac:dyDescent="0.25">
      <c r="B36" s="2">
        <f t="shared" si="13"/>
        <v>30</v>
      </c>
      <c r="C36" s="2">
        <f t="shared" ca="1" si="15"/>
        <v>18</v>
      </c>
      <c r="D36" s="2" t="str">
        <f t="shared" ca="1" si="3"/>
        <v>Withdrawal</v>
      </c>
      <c r="E36" s="2">
        <f t="shared" ca="1" si="4"/>
        <v>2</v>
      </c>
      <c r="F36" s="3">
        <f t="shared" ca="1" si="1"/>
        <v>91.176615730051864</v>
      </c>
      <c r="G36" s="2" t="str">
        <f t="shared" ca="1" si="2"/>
        <v>Checking</v>
      </c>
      <c r="H36" s="2">
        <f t="shared" ca="1" si="5"/>
        <v>1</v>
      </c>
      <c r="I36" s="10"/>
      <c r="J36" s="10"/>
      <c r="K36">
        <f t="shared" si="14"/>
        <v>30</v>
      </c>
      <c r="L36">
        <f t="shared" ca="1" si="6"/>
        <v>3</v>
      </c>
      <c r="M36" s="4">
        <f t="shared" ca="1" si="7"/>
        <v>3267</v>
      </c>
      <c r="N36" s="4">
        <f t="shared" ca="1" si="8"/>
        <v>108469</v>
      </c>
      <c r="O36" s="4">
        <f t="shared" ca="1" si="9"/>
        <v>46558</v>
      </c>
      <c r="P36">
        <f t="shared" ca="1" si="10"/>
        <v>48</v>
      </c>
      <c r="Q36" s="22">
        <f t="shared" ca="1" si="11"/>
        <v>969.95833333333337</v>
      </c>
      <c r="R36" s="22">
        <f t="shared" ca="1" si="12"/>
        <v>8729.625</v>
      </c>
    </row>
    <row r="37" spans="2:18" x14ac:dyDescent="0.25">
      <c r="B37" s="2">
        <f t="shared" si="13"/>
        <v>31</v>
      </c>
      <c r="C37" s="2">
        <f t="shared" ca="1" si="15"/>
        <v>22</v>
      </c>
      <c r="D37" s="2" t="str">
        <f t="shared" ca="1" si="3"/>
        <v>Withdrawal</v>
      </c>
      <c r="E37" s="2">
        <f t="shared" ca="1" si="4"/>
        <v>2</v>
      </c>
      <c r="F37" s="3">
        <f t="shared" ca="1" si="1"/>
        <v>6338.6600851198082</v>
      </c>
      <c r="G37" s="2" t="str">
        <f t="shared" ca="1" si="2"/>
        <v>Checking</v>
      </c>
      <c r="H37" s="2">
        <f t="shared" ca="1" si="5"/>
        <v>1</v>
      </c>
      <c r="I37" s="10"/>
      <c r="J37" s="10"/>
      <c r="K37">
        <f t="shared" si="14"/>
        <v>31</v>
      </c>
      <c r="L37">
        <f t="shared" ca="1" si="6"/>
        <v>2</v>
      </c>
      <c r="M37" s="4">
        <f t="shared" ca="1" si="7"/>
        <v>6780</v>
      </c>
      <c r="N37" s="4">
        <f t="shared" ca="1" si="8"/>
        <v>165930</v>
      </c>
      <c r="O37" s="4">
        <f t="shared" ca="1" si="9"/>
        <v>40759</v>
      </c>
      <c r="P37">
        <f t="shared" ca="1" si="10"/>
        <v>48</v>
      </c>
      <c r="Q37" s="22">
        <f t="shared" ca="1" si="11"/>
        <v>849.14583333333337</v>
      </c>
      <c r="R37" s="22">
        <f t="shared" ca="1" si="12"/>
        <v>14435.479166666664</v>
      </c>
    </row>
    <row r="38" spans="2:18" x14ac:dyDescent="0.25">
      <c r="B38" s="2">
        <f t="shared" si="13"/>
        <v>32</v>
      </c>
      <c r="C38" s="2">
        <f t="shared" ca="1" si="15"/>
        <v>47</v>
      </c>
      <c r="D38" s="2" t="str">
        <f t="shared" ca="1" si="3"/>
        <v>Deposit</v>
      </c>
      <c r="E38" s="2">
        <f t="shared" ca="1" si="4"/>
        <v>1</v>
      </c>
      <c r="F38" s="3">
        <f t="shared" ca="1" si="1"/>
        <v>5965.2625099565485</v>
      </c>
      <c r="G38" s="2" t="str">
        <f t="shared" ca="1" si="2"/>
        <v>Checking</v>
      </c>
      <c r="H38" s="2">
        <f t="shared" ca="1" si="5"/>
        <v>1</v>
      </c>
      <c r="I38" s="10"/>
      <c r="J38" s="10"/>
      <c r="K38">
        <f t="shared" si="14"/>
        <v>32</v>
      </c>
      <c r="L38">
        <f t="shared" ca="1" si="6"/>
        <v>5</v>
      </c>
      <c r="M38" s="4">
        <f t="shared" ca="1" si="7"/>
        <v>9292</v>
      </c>
      <c r="N38" s="4">
        <f t="shared" ca="1" si="8"/>
        <v>191012</v>
      </c>
      <c r="O38" s="4">
        <f t="shared" ca="1" si="9"/>
        <v>32480</v>
      </c>
      <c r="P38">
        <f t="shared" ca="1" si="10"/>
        <v>72</v>
      </c>
      <c r="Q38" s="22">
        <f t="shared" ca="1" si="11"/>
        <v>451.11111111111109</v>
      </c>
      <c r="R38" s="22">
        <f t="shared" ca="1" si="12"/>
        <v>23006.666666666668</v>
      </c>
    </row>
    <row r="39" spans="2:18" x14ac:dyDescent="0.25">
      <c r="B39" s="2">
        <f t="shared" si="13"/>
        <v>33</v>
      </c>
      <c r="C39" s="2">
        <f t="shared" ca="1" si="15"/>
        <v>29</v>
      </c>
      <c r="D39" s="2" t="str">
        <f t="shared" ca="1" si="3"/>
        <v>Deposit</v>
      </c>
      <c r="E39" s="2">
        <f t="shared" ca="1" si="4"/>
        <v>1</v>
      </c>
      <c r="F39" s="3">
        <f t="shared" ref="F39:F70" ca="1" si="16">IF(G39="Checking",RAND()*VLOOKUP($C39,$K$6:$O$106,3),IF(G39="Savings",RAND()*VLOOKUP($C39,$K$6:$O$106,4),IF(G39="Loan",RANDBETWEEN(100,700))))</f>
        <v>4089.892592279326</v>
      </c>
      <c r="G39" s="2" t="str">
        <f t="shared" ref="G39:G70" ca="1" si="17">IF(E39=3,"Loan",IF(H39=1, "Checking",IF(H39=2, "Savings")))</f>
        <v>Checking</v>
      </c>
      <c r="H39" s="2">
        <f t="shared" ca="1" si="5"/>
        <v>1</v>
      </c>
      <c r="I39" s="10"/>
      <c r="J39" s="10"/>
      <c r="K39">
        <f t="shared" si="14"/>
        <v>33</v>
      </c>
      <c r="L39">
        <f t="shared" ca="1" si="6"/>
        <v>1</v>
      </c>
      <c r="M39" s="4">
        <f t="shared" ca="1" si="7"/>
        <v>9103</v>
      </c>
      <c r="N39" s="4">
        <f t="shared" ca="1" si="8"/>
        <v>112344</v>
      </c>
      <c r="O39" s="4">
        <f t="shared" ca="1" si="9"/>
        <v>41467</v>
      </c>
      <c r="P39">
        <f t="shared" ca="1" si="10"/>
        <v>72</v>
      </c>
      <c r="Q39" s="22">
        <f t="shared" ca="1" si="11"/>
        <v>575.93055555555554</v>
      </c>
      <c r="R39" s="22">
        <f t="shared" ca="1" si="12"/>
        <v>36283.625</v>
      </c>
    </row>
    <row r="40" spans="2:18" x14ac:dyDescent="0.25">
      <c r="B40" s="2">
        <f t="shared" si="13"/>
        <v>34</v>
      </c>
      <c r="C40" s="2">
        <f t="shared" ca="1" si="15"/>
        <v>13</v>
      </c>
      <c r="D40" s="2" t="str">
        <f t="shared" ca="1" si="3"/>
        <v>Payment</v>
      </c>
      <c r="E40" s="2">
        <f t="shared" ca="1" si="4"/>
        <v>3</v>
      </c>
      <c r="F40" s="3">
        <f t="shared" ca="1" si="16"/>
        <v>483</v>
      </c>
      <c r="G40" s="2" t="str">
        <f t="shared" ca="1" si="17"/>
        <v>Loan</v>
      </c>
      <c r="H40" s="2">
        <f t="shared" ca="1" si="5"/>
        <v>3</v>
      </c>
      <c r="I40" s="10"/>
      <c r="J40" s="10"/>
      <c r="K40">
        <f t="shared" si="14"/>
        <v>34</v>
      </c>
      <c r="L40">
        <f t="shared" ca="1" si="6"/>
        <v>5</v>
      </c>
      <c r="M40" s="4">
        <f t="shared" ca="1" si="7"/>
        <v>8802</v>
      </c>
      <c r="N40" s="4">
        <f t="shared" ca="1" si="8"/>
        <v>177382</v>
      </c>
      <c r="O40" s="4">
        <f t="shared" ca="1" si="9"/>
        <v>49022</v>
      </c>
      <c r="P40">
        <f t="shared" ca="1" si="10"/>
        <v>72</v>
      </c>
      <c r="Q40" s="22">
        <f t="shared" ca="1" si="11"/>
        <v>680.86111111111109</v>
      </c>
      <c r="R40" s="22">
        <f t="shared" ca="1" si="12"/>
        <v>21787.555555555555</v>
      </c>
    </row>
    <row r="41" spans="2:18" x14ac:dyDescent="0.25">
      <c r="B41" s="2">
        <f t="shared" si="13"/>
        <v>35</v>
      </c>
      <c r="C41" s="2">
        <f t="shared" ca="1" si="15"/>
        <v>39</v>
      </c>
      <c r="D41" s="2" t="str">
        <f t="shared" ca="1" si="3"/>
        <v>Withdrawal</v>
      </c>
      <c r="E41" s="2">
        <f t="shared" ca="1" si="4"/>
        <v>2</v>
      </c>
      <c r="F41" s="3">
        <f t="shared" ca="1" si="16"/>
        <v>82603.101757094046</v>
      </c>
      <c r="G41" s="2" t="str">
        <f t="shared" ca="1" si="17"/>
        <v>Savings</v>
      </c>
      <c r="H41" s="2">
        <f t="shared" ca="1" si="5"/>
        <v>2</v>
      </c>
      <c r="I41" s="10"/>
      <c r="J41" s="10"/>
      <c r="K41">
        <f t="shared" si="14"/>
        <v>35</v>
      </c>
      <c r="L41">
        <f t="shared" ca="1" si="6"/>
        <v>1</v>
      </c>
      <c r="M41" s="4">
        <f t="shared" ca="1" si="7"/>
        <v>6905</v>
      </c>
      <c r="N41" s="4">
        <f t="shared" ca="1" si="8"/>
        <v>108312</v>
      </c>
      <c r="O41" s="4">
        <f t="shared" ca="1" si="9"/>
        <v>22978</v>
      </c>
      <c r="P41">
        <f t="shared" ca="1" si="10"/>
        <v>60</v>
      </c>
      <c r="Q41" s="22">
        <f t="shared" ca="1" si="11"/>
        <v>382.96666666666664</v>
      </c>
      <c r="R41" s="22">
        <f t="shared" ca="1" si="12"/>
        <v>14552.733333333334</v>
      </c>
    </row>
    <row r="42" spans="2:18" x14ac:dyDescent="0.25">
      <c r="B42" s="2">
        <f t="shared" si="13"/>
        <v>36</v>
      </c>
      <c r="C42" s="2">
        <f t="shared" ca="1" si="15"/>
        <v>16</v>
      </c>
      <c r="D42" s="2" t="str">
        <f t="shared" ca="1" si="3"/>
        <v>Deposit</v>
      </c>
      <c r="E42" s="2">
        <f t="shared" ca="1" si="4"/>
        <v>1</v>
      </c>
      <c r="F42" s="3">
        <f t="shared" ca="1" si="16"/>
        <v>66333.32613937826</v>
      </c>
      <c r="G42" s="2" t="str">
        <f t="shared" ca="1" si="17"/>
        <v>Savings</v>
      </c>
      <c r="H42" s="2">
        <f t="shared" ca="1" si="5"/>
        <v>2</v>
      </c>
      <c r="I42" s="10"/>
      <c r="J42" s="10"/>
      <c r="K42">
        <f t="shared" si="14"/>
        <v>36</v>
      </c>
      <c r="L42">
        <f t="shared" ca="1" si="6"/>
        <v>4</v>
      </c>
      <c r="M42" s="4">
        <f t="shared" ca="1" si="7"/>
        <v>75</v>
      </c>
      <c r="N42" s="4">
        <f t="shared" ca="1" si="8"/>
        <v>149741</v>
      </c>
      <c r="O42" s="4">
        <f t="shared" ca="1" si="9"/>
        <v>55390</v>
      </c>
      <c r="P42">
        <f t="shared" ca="1" si="10"/>
        <v>60</v>
      </c>
      <c r="Q42" s="22">
        <f t="shared" ca="1" si="11"/>
        <v>923.16666666666663</v>
      </c>
      <c r="R42" s="22">
        <f t="shared" ca="1" si="12"/>
        <v>12001.166666666672</v>
      </c>
    </row>
    <row r="43" spans="2:18" x14ac:dyDescent="0.25">
      <c r="B43" s="2">
        <f t="shared" si="13"/>
        <v>37</v>
      </c>
      <c r="C43" s="2">
        <f t="shared" ca="1" si="15"/>
        <v>56</v>
      </c>
      <c r="D43" s="2" t="str">
        <f t="shared" ca="1" si="3"/>
        <v>Deposit</v>
      </c>
      <c r="E43" s="2">
        <f t="shared" ca="1" si="4"/>
        <v>1</v>
      </c>
      <c r="F43" s="3">
        <f t="shared" ca="1" si="16"/>
        <v>3111.574665903292</v>
      </c>
      <c r="G43" s="2" t="str">
        <f t="shared" ca="1" si="17"/>
        <v>Checking</v>
      </c>
      <c r="H43" s="2">
        <f t="shared" ca="1" si="5"/>
        <v>1</v>
      </c>
      <c r="I43" s="10"/>
      <c r="J43" s="10"/>
      <c r="K43">
        <f t="shared" si="14"/>
        <v>37</v>
      </c>
      <c r="L43">
        <f t="shared" ca="1" si="6"/>
        <v>5</v>
      </c>
      <c r="M43" s="4">
        <f t="shared" ca="1" si="7"/>
        <v>5617</v>
      </c>
      <c r="N43" s="4">
        <f t="shared" ca="1" si="8"/>
        <v>169730</v>
      </c>
      <c r="O43" s="4">
        <f t="shared" ca="1" si="9"/>
        <v>54107</v>
      </c>
      <c r="P43">
        <f t="shared" ca="1" si="10"/>
        <v>72</v>
      </c>
      <c r="Q43" s="22">
        <f t="shared" ca="1" si="11"/>
        <v>751.48611111111109</v>
      </c>
      <c r="R43" s="22">
        <f t="shared" ca="1" si="12"/>
        <v>12023.777777777781</v>
      </c>
    </row>
    <row r="44" spans="2:18" x14ac:dyDescent="0.25">
      <c r="B44" s="2">
        <f t="shared" si="13"/>
        <v>38</v>
      </c>
      <c r="C44" s="2">
        <f t="shared" ca="1" si="15"/>
        <v>94</v>
      </c>
      <c r="D44" s="2" t="str">
        <f t="shared" ca="1" si="3"/>
        <v>Withdrawal</v>
      </c>
      <c r="E44" s="2">
        <f t="shared" ca="1" si="4"/>
        <v>2</v>
      </c>
      <c r="F44" s="3">
        <f t="shared" ca="1" si="16"/>
        <v>145.14826505302059</v>
      </c>
      <c r="G44" s="2" t="str">
        <f t="shared" ca="1" si="17"/>
        <v>Checking</v>
      </c>
      <c r="H44" s="2">
        <f t="shared" ca="1" si="5"/>
        <v>1</v>
      </c>
      <c r="I44" s="10"/>
      <c r="J44" s="10"/>
      <c r="K44">
        <f t="shared" si="14"/>
        <v>38</v>
      </c>
      <c r="L44">
        <f t="shared" ca="1" si="6"/>
        <v>1</v>
      </c>
      <c r="M44" s="4">
        <f t="shared" ca="1" si="7"/>
        <v>8750</v>
      </c>
      <c r="N44" s="4">
        <f t="shared" ca="1" si="8"/>
        <v>87450</v>
      </c>
      <c r="O44" s="4">
        <f t="shared" ca="1" si="9"/>
        <v>48209</v>
      </c>
      <c r="P44">
        <f t="shared" ca="1" si="10"/>
        <v>72</v>
      </c>
      <c r="Q44" s="22">
        <f t="shared" ca="1" si="11"/>
        <v>669.56944444444446</v>
      </c>
      <c r="R44" s="22">
        <f t="shared" ca="1" si="12"/>
        <v>38835.027777777781</v>
      </c>
    </row>
    <row r="45" spans="2:18" x14ac:dyDescent="0.25">
      <c r="B45" s="2">
        <f t="shared" si="13"/>
        <v>39</v>
      </c>
      <c r="C45" s="2">
        <f t="shared" ca="1" si="15"/>
        <v>96</v>
      </c>
      <c r="D45" s="2" t="str">
        <f t="shared" ca="1" si="3"/>
        <v>Payment</v>
      </c>
      <c r="E45" s="2">
        <f t="shared" ca="1" si="4"/>
        <v>3</v>
      </c>
      <c r="F45" s="3">
        <f t="shared" ca="1" si="16"/>
        <v>183</v>
      </c>
      <c r="G45" s="2" t="str">
        <f t="shared" ca="1" si="17"/>
        <v>Loan</v>
      </c>
      <c r="H45" s="2">
        <f t="shared" ca="1" si="5"/>
        <v>3</v>
      </c>
      <c r="I45" s="10"/>
      <c r="J45" s="10"/>
      <c r="K45">
        <f t="shared" si="14"/>
        <v>39</v>
      </c>
      <c r="L45">
        <f t="shared" ca="1" si="6"/>
        <v>3</v>
      </c>
      <c r="M45" s="4">
        <f t="shared" ca="1" si="7"/>
        <v>3995</v>
      </c>
      <c r="N45" s="4">
        <f t="shared" ca="1" si="8"/>
        <v>122896</v>
      </c>
      <c r="O45" s="4">
        <f t="shared" ca="1" si="9"/>
        <v>47759</v>
      </c>
      <c r="P45">
        <f t="shared" ca="1" si="10"/>
        <v>48</v>
      </c>
      <c r="Q45" s="22">
        <f t="shared" ca="1" si="11"/>
        <v>994.97916666666663</v>
      </c>
      <c r="R45" s="22">
        <f t="shared" ca="1" si="12"/>
        <v>27859.416666666668</v>
      </c>
    </row>
    <row r="46" spans="2:18" x14ac:dyDescent="0.25">
      <c r="B46" s="2">
        <f t="shared" si="13"/>
        <v>40</v>
      </c>
      <c r="C46" s="2">
        <f t="shared" ca="1" si="15"/>
        <v>25</v>
      </c>
      <c r="D46" s="2" t="str">
        <f t="shared" ca="1" si="3"/>
        <v>Withdrawal</v>
      </c>
      <c r="E46" s="2">
        <f t="shared" ca="1" si="4"/>
        <v>2</v>
      </c>
      <c r="F46" s="3">
        <f t="shared" ca="1" si="16"/>
        <v>2654.7737760315763</v>
      </c>
      <c r="G46" s="2" t="str">
        <f t="shared" ca="1" si="17"/>
        <v>Checking</v>
      </c>
      <c r="H46" s="2">
        <f t="shared" ca="1" si="5"/>
        <v>1</v>
      </c>
      <c r="I46" s="10"/>
      <c r="J46" s="10"/>
      <c r="K46">
        <f t="shared" si="14"/>
        <v>40</v>
      </c>
      <c r="L46">
        <f t="shared" ca="1" si="6"/>
        <v>5</v>
      </c>
      <c r="M46" s="4">
        <f t="shared" ca="1" si="7"/>
        <v>8024</v>
      </c>
      <c r="N46" s="4">
        <f t="shared" ca="1" si="8"/>
        <v>163661</v>
      </c>
      <c r="O46" s="4">
        <f t="shared" ca="1" si="9"/>
        <v>47372</v>
      </c>
      <c r="P46">
        <f t="shared" ca="1" si="10"/>
        <v>48</v>
      </c>
      <c r="Q46" s="22">
        <f t="shared" ca="1" si="11"/>
        <v>986.91666666666663</v>
      </c>
      <c r="R46" s="22">
        <f t="shared" ca="1" si="12"/>
        <v>27633.666666666668</v>
      </c>
    </row>
    <row r="47" spans="2:18" x14ac:dyDescent="0.25">
      <c r="B47" s="2">
        <f t="shared" si="13"/>
        <v>41</v>
      </c>
      <c r="C47" s="2">
        <f t="shared" ca="1" si="15"/>
        <v>89</v>
      </c>
      <c r="D47" s="2" t="str">
        <f t="shared" ca="1" si="3"/>
        <v>Withdrawal</v>
      </c>
      <c r="E47" s="2">
        <f t="shared" ca="1" si="4"/>
        <v>2</v>
      </c>
      <c r="F47" s="3">
        <f t="shared" ca="1" si="16"/>
        <v>57608.394613175369</v>
      </c>
      <c r="G47" s="2" t="str">
        <f t="shared" ca="1" si="17"/>
        <v>Savings</v>
      </c>
      <c r="H47" s="2">
        <f t="shared" ca="1" si="5"/>
        <v>2</v>
      </c>
      <c r="I47" s="10"/>
      <c r="J47" s="10"/>
      <c r="K47">
        <f t="shared" si="14"/>
        <v>41</v>
      </c>
      <c r="L47">
        <f t="shared" ca="1" si="6"/>
        <v>3</v>
      </c>
      <c r="M47" s="4">
        <f t="shared" ca="1" si="7"/>
        <v>27</v>
      </c>
      <c r="N47" s="4">
        <f t="shared" ca="1" si="8"/>
        <v>71983</v>
      </c>
      <c r="O47" s="4">
        <f t="shared" ca="1" si="9"/>
        <v>20079</v>
      </c>
      <c r="P47">
        <f t="shared" ca="1" si="10"/>
        <v>48</v>
      </c>
      <c r="Q47" s="22">
        <f t="shared" ca="1" si="11"/>
        <v>418.3125</v>
      </c>
      <c r="R47" s="22">
        <f t="shared" ca="1" si="12"/>
        <v>11294.4375</v>
      </c>
    </row>
    <row r="48" spans="2:18" x14ac:dyDescent="0.25">
      <c r="B48" s="2">
        <f t="shared" si="13"/>
        <v>42</v>
      </c>
      <c r="C48" s="2">
        <f t="shared" ca="1" si="15"/>
        <v>93</v>
      </c>
      <c r="D48" s="2" t="str">
        <f t="shared" ca="1" si="3"/>
        <v>Payment</v>
      </c>
      <c r="E48" s="2">
        <f t="shared" ca="1" si="4"/>
        <v>3</v>
      </c>
      <c r="F48" s="3">
        <f t="shared" ca="1" si="16"/>
        <v>371</v>
      </c>
      <c r="G48" s="2" t="str">
        <f t="shared" ca="1" si="17"/>
        <v>Loan</v>
      </c>
      <c r="H48" s="2">
        <f t="shared" ca="1" si="5"/>
        <v>3</v>
      </c>
      <c r="I48" s="10"/>
      <c r="J48" s="10"/>
      <c r="K48">
        <f t="shared" si="14"/>
        <v>42</v>
      </c>
      <c r="L48">
        <f t="shared" ca="1" si="6"/>
        <v>1</v>
      </c>
      <c r="M48" s="4">
        <f t="shared" ca="1" si="7"/>
        <v>9636</v>
      </c>
      <c r="N48" s="4">
        <f t="shared" ca="1" si="8"/>
        <v>50746</v>
      </c>
      <c r="O48" s="4">
        <f t="shared" ca="1" si="9"/>
        <v>55937</v>
      </c>
      <c r="P48">
        <f t="shared" ca="1" si="10"/>
        <v>48</v>
      </c>
      <c r="Q48" s="22">
        <f t="shared" ca="1" si="11"/>
        <v>1165.3541666666667</v>
      </c>
      <c r="R48" s="22">
        <f t="shared" ca="1" si="12"/>
        <v>29133.854166666664</v>
      </c>
    </row>
    <row r="49" spans="2:18" x14ac:dyDescent="0.25">
      <c r="B49" s="2">
        <f t="shared" si="13"/>
        <v>43</v>
      </c>
      <c r="C49" s="2">
        <f t="shared" ca="1" si="15"/>
        <v>77</v>
      </c>
      <c r="D49" s="2" t="str">
        <f t="shared" ca="1" si="3"/>
        <v>Deposit</v>
      </c>
      <c r="E49" s="2">
        <f t="shared" ca="1" si="4"/>
        <v>1</v>
      </c>
      <c r="F49" s="3">
        <f t="shared" ca="1" si="16"/>
        <v>78913.605370529127</v>
      </c>
      <c r="G49" s="2" t="str">
        <f t="shared" ca="1" si="17"/>
        <v>Savings</v>
      </c>
      <c r="H49" s="2">
        <f t="shared" ca="1" si="5"/>
        <v>2</v>
      </c>
      <c r="I49" s="10"/>
      <c r="J49" s="10"/>
      <c r="K49">
        <f t="shared" si="14"/>
        <v>43</v>
      </c>
      <c r="L49">
        <f t="shared" ca="1" si="6"/>
        <v>3</v>
      </c>
      <c r="M49" s="4">
        <f t="shared" ca="1" si="7"/>
        <v>5281</v>
      </c>
      <c r="N49" s="4">
        <f t="shared" ca="1" si="8"/>
        <v>62212</v>
      </c>
      <c r="O49" s="4">
        <f t="shared" ca="1" si="9"/>
        <v>44418</v>
      </c>
      <c r="P49">
        <f t="shared" ca="1" si="10"/>
        <v>60</v>
      </c>
      <c r="Q49" s="22">
        <f t="shared" ca="1" si="11"/>
        <v>740.3</v>
      </c>
      <c r="R49" s="22">
        <f t="shared" ca="1" si="12"/>
        <v>23689.600000000002</v>
      </c>
    </row>
    <row r="50" spans="2:18" x14ac:dyDescent="0.25">
      <c r="B50" s="2">
        <f t="shared" si="13"/>
        <v>44</v>
      </c>
      <c r="C50" s="2">
        <f t="shared" ca="1" si="15"/>
        <v>67</v>
      </c>
      <c r="D50" s="2" t="str">
        <f t="shared" ca="1" si="3"/>
        <v>Payment</v>
      </c>
      <c r="E50" s="2">
        <f t="shared" ca="1" si="4"/>
        <v>3</v>
      </c>
      <c r="F50" s="3">
        <f t="shared" ca="1" si="16"/>
        <v>659</v>
      </c>
      <c r="G50" s="2" t="str">
        <f t="shared" ca="1" si="17"/>
        <v>Loan</v>
      </c>
      <c r="H50" s="2">
        <f t="shared" ca="1" si="5"/>
        <v>3</v>
      </c>
      <c r="I50" s="10"/>
      <c r="J50" s="10"/>
      <c r="K50">
        <f t="shared" si="14"/>
        <v>44</v>
      </c>
      <c r="L50">
        <f t="shared" ca="1" si="6"/>
        <v>4</v>
      </c>
      <c r="M50" s="4">
        <f t="shared" ca="1" si="7"/>
        <v>130</v>
      </c>
      <c r="N50" s="4">
        <f t="shared" ca="1" si="8"/>
        <v>127295</v>
      </c>
      <c r="O50" s="4">
        <f t="shared" ca="1" si="9"/>
        <v>47166</v>
      </c>
      <c r="P50">
        <f t="shared" ca="1" si="10"/>
        <v>72</v>
      </c>
      <c r="Q50" s="22">
        <f t="shared" ca="1" si="11"/>
        <v>655.08333333333337</v>
      </c>
      <c r="R50" s="22">
        <f t="shared" ca="1" si="12"/>
        <v>17687.25</v>
      </c>
    </row>
    <row r="51" spans="2:18" x14ac:dyDescent="0.25">
      <c r="B51" s="2">
        <f t="shared" si="13"/>
        <v>45</v>
      </c>
      <c r="C51" s="2">
        <f t="shared" ca="1" si="15"/>
        <v>45</v>
      </c>
      <c r="D51" s="2" t="str">
        <f t="shared" ca="1" si="3"/>
        <v>Payment</v>
      </c>
      <c r="E51" s="2">
        <f t="shared" ca="1" si="4"/>
        <v>3</v>
      </c>
      <c r="F51" s="3">
        <f t="shared" ca="1" si="16"/>
        <v>371</v>
      </c>
      <c r="G51" s="2" t="str">
        <f t="shared" ca="1" si="17"/>
        <v>Loan</v>
      </c>
      <c r="H51" s="2">
        <f t="shared" ca="1" si="5"/>
        <v>3</v>
      </c>
      <c r="I51" s="10"/>
      <c r="J51" s="10"/>
      <c r="K51">
        <f t="shared" si="14"/>
        <v>45</v>
      </c>
      <c r="L51">
        <f t="shared" ca="1" si="6"/>
        <v>4</v>
      </c>
      <c r="M51" s="4">
        <f t="shared" ca="1" si="7"/>
        <v>2722</v>
      </c>
      <c r="N51" s="4">
        <f t="shared" ca="1" si="8"/>
        <v>104150</v>
      </c>
      <c r="O51" s="4">
        <f t="shared" ca="1" si="9"/>
        <v>14984</v>
      </c>
      <c r="P51">
        <f t="shared" ca="1" si="10"/>
        <v>48</v>
      </c>
      <c r="Q51" s="22">
        <f t="shared" ca="1" si="11"/>
        <v>312.16666666666669</v>
      </c>
      <c r="R51" s="22">
        <f t="shared" ca="1" si="12"/>
        <v>3433.8333333333321</v>
      </c>
    </row>
    <row r="52" spans="2:18" x14ac:dyDescent="0.25">
      <c r="B52" s="2">
        <f t="shared" si="13"/>
        <v>46</v>
      </c>
      <c r="C52" s="2">
        <f t="shared" ca="1" si="15"/>
        <v>52</v>
      </c>
      <c r="D52" s="2" t="str">
        <f t="shared" ca="1" si="3"/>
        <v>Payment</v>
      </c>
      <c r="E52" s="2">
        <f t="shared" ca="1" si="4"/>
        <v>3</v>
      </c>
      <c r="F52" s="3">
        <f t="shared" ca="1" si="16"/>
        <v>337</v>
      </c>
      <c r="G52" s="2" t="str">
        <f t="shared" ca="1" si="17"/>
        <v>Loan</v>
      </c>
      <c r="H52" s="2">
        <f t="shared" ca="1" si="5"/>
        <v>3</v>
      </c>
      <c r="I52" s="10"/>
      <c r="J52" s="10"/>
      <c r="K52">
        <f t="shared" si="14"/>
        <v>46</v>
      </c>
      <c r="L52">
        <f t="shared" ca="1" si="6"/>
        <v>4</v>
      </c>
      <c r="M52" s="4">
        <f t="shared" ca="1" si="7"/>
        <v>5234</v>
      </c>
      <c r="N52" s="4">
        <f t="shared" ca="1" si="8"/>
        <v>135305</v>
      </c>
      <c r="O52" s="4">
        <f t="shared" ca="1" si="9"/>
        <v>34396</v>
      </c>
      <c r="P52">
        <f t="shared" ca="1" si="10"/>
        <v>48</v>
      </c>
      <c r="Q52" s="22">
        <f t="shared" ca="1" si="11"/>
        <v>716.58333333333337</v>
      </c>
      <c r="R52" s="22">
        <f t="shared" ca="1" si="12"/>
        <v>26513.583333333332</v>
      </c>
    </row>
    <row r="53" spans="2:18" x14ac:dyDescent="0.25">
      <c r="B53" s="2">
        <f t="shared" si="13"/>
        <v>47</v>
      </c>
      <c r="C53" s="2">
        <f t="shared" ca="1" si="15"/>
        <v>13</v>
      </c>
      <c r="D53" s="2" t="str">
        <f t="shared" ca="1" si="3"/>
        <v>Deposit</v>
      </c>
      <c r="E53" s="2">
        <f t="shared" ca="1" si="4"/>
        <v>1</v>
      </c>
      <c r="F53" s="3">
        <f t="shared" ca="1" si="16"/>
        <v>3007.2263319699946</v>
      </c>
      <c r="G53" s="2" t="str">
        <f t="shared" ca="1" si="17"/>
        <v>Checking</v>
      </c>
      <c r="H53" s="2">
        <f t="shared" ca="1" si="5"/>
        <v>1</v>
      </c>
      <c r="I53" s="10"/>
      <c r="J53" s="10"/>
      <c r="K53">
        <f t="shared" si="14"/>
        <v>47</v>
      </c>
      <c r="L53">
        <f t="shared" ca="1" si="6"/>
        <v>1</v>
      </c>
      <c r="M53" s="4">
        <f t="shared" ca="1" si="7"/>
        <v>6459</v>
      </c>
      <c r="N53" s="4">
        <f t="shared" ca="1" si="8"/>
        <v>142649</v>
      </c>
      <c r="O53" s="4">
        <f t="shared" ca="1" si="9"/>
        <v>18557</v>
      </c>
      <c r="P53">
        <f t="shared" ca="1" si="10"/>
        <v>48</v>
      </c>
      <c r="Q53" s="22">
        <f t="shared" ca="1" si="11"/>
        <v>386.60416666666669</v>
      </c>
      <c r="R53" s="22">
        <f t="shared" ca="1" si="12"/>
        <v>7732.0833333333321</v>
      </c>
    </row>
    <row r="54" spans="2:18" x14ac:dyDescent="0.25">
      <c r="B54" s="2">
        <f t="shared" si="13"/>
        <v>48</v>
      </c>
      <c r="C54" s="2">
        <f t="shared" ca="1" si="15"/>
        <v>28</v>
      </c>
      <c r="D54" s="2" t="str">
        <f t="shared" ca="1" si="3"/>
        <v>Payment</v>
      </c>
      <c r="E54" s="2">
        <f t="shared" ca="1" si="4"/>
        <v>3</v>
      </c>
      <c r="F54" s="3">
        <f t="shared" ca="1" si="16"/>
        <v>399</v>
      </c>
      <c r="G54" s="2" t="str">
        <f t="shared" ca="1" si="17"/>
        <v>Loan</v>
      </c>
      <c r="H54" s="2">
        <f t="shared" ca="1" si="5"/>
        <v>3</v>
      </c>
      <c r="I54" s="10"/>
      <c r="J54" s="10"/>
      <c r="K54">
        <f t="shared" si="14"/>
        <v>48</v>
      </c>
      <c r="L54">
        <f t="shared" ca="1" si="6"/>
        <v>5</v>
      </c>
      <c r="M54" s="4">
        <f t="shared" ca="1" si="7"/>
        <v>8752</v>
      </c>
      <c r="N54" s="4">
        <f t="shared" ca="1" si="8"/>
        <v>156460</v>
      </c>
      <c r="O54" s="4">
        <f t="shared" ca="1" si="9"/>
        <v>48777</v>
      </c>
      <c r="P54">
        <f t="shared" ca="1" si="10"/>
        <v>60</v>
      </c>
      <c r="Q54" s="22">
        <f t="shared" ca="1" si="11"/>
        <v>812.95</v>
      </c>
      <c r="R54" s="22">
        <f t="shared" ca="1" si="12"/>
        <v>25201.449999999997</v>
      </c>
    </row>
    <row r="55" spans="2:18" x14ac:dyDescent="0.25">
      <c r="B55" s="2">
        <f t="shared" si="13"/>
        <v>49</v>
      </c>
      <c r="C55" s="2">
        <f t="shared" ca="1" si="15"/>
        <v>81</v>
      </c>
      <c r="D55" s="2" t="str">
        <f t="shared" ca="1" si="3"/>
        <v>Payment</v>
      </c>
      <c r="E55" s="2">
        <f t="shared" ca="1" si="4"/>
        <v>3</v>
      </c>
      <c r="F55" s="3">
        <f t="shared" ca="1" si="16"/>
        <v>517</v>
      </c>
      <c r="G55" s="2" t="str">
        <f t="shared" ca="1" si="17"/>
        <v>Loan</v>
      </c>
      <c r="H55" s="2">
        <f t="shared" ca="1" si="5"/>
        <v>3</v>
      </c>
      <c r="I55" s="10"/>
      <c r="J55" s="10"/>
      <c r="K55">
        <f t="shared" si="14"/>
        <v>49</v>
      </c>
      <c r="L55">
        <f t="shared" ca="1" si="6"/>
        <v>2</v>
      </c>
      <c r="M55" s="4">
        <f t="shared" ca="1" si="7"/>
        <v>8709</v>
      </c>
      <c r="N55" s="4">
        <f t="shared" ca="1" si="8"/>
        <v>139611</v>
      </c>
      <c r="O55" s="4">
        <f t="shared" ca="1" si="9"/>
        <v>28845</v>
      </c>
      <c r="P55">
        <f t="shared" ca="1" si="10"/>
        <v>48</v>
      </c>
      <c r="Q55" s="22">
        <f t="shared" ca="1" si="11"/>
        <v>600.9375</v>
      </c>
      <c r="R55" s="22">
        <f t="shared" ca="1" si="12"/>
        <v>28244.0625</v>
      </c>
    </row>
    <row r="56" spans="2:18" x14ac:dyDescent="0.25">
      <c r="B56" s="2">
        <f t="shared" si="13"/>
        <v>50</v>
      </c>
      <c r="C56" s="2">
        <f t="shared" ca="1" si="15"/>
        <v>94</v>
      </c>
      <c r="D56" s="2" t="str">
        <f t="shared" ca="1" si="3"/>
        <v>Withdrawal</v>
      </c>
      <c r="E56" s="2">
        <f t="shared" ca="1" si="4"/>
        <v>2</v>
      </c>
      <c r="F56" s="3">
        <f t="shared" ca="1" si="16"/>
        <v>136.69779741622594</v>
      </c>
      <c r="G56" s="2" t="str">
        <f t="shared" ca="1" si="17"/>
        <v>Checking</v>
      </c>
      <c r="H56" s="2">
        <f t="shared" ca="1" si="5"/>
        <v>1</v>
      </c>
      <c r="I56" s="10"/>
      <c r="J56" s="10"/>
      <c r="K56">
        <f t="shared" si="14"/>
        <v>50</v>
      </c>
      <c r="L56">
        <f t="shared" ca="1" si="6"/>
        <v>1</v>
      </c>
      <c r="M56" s="4">
        <f t="shared" ca="1" si="7"/>
        <v>4303</v>
      </c>
      <c r="N56" s="4">
        <f t="shared" ca="1" si="8"/>
        <v>144585</v>
      </c>
      <c r="O56" s="4">
        <f t="shared" ca="1" si="9"/>
        <v>35762</v>
      </c>
      <c r="P56">
        <f t="shared" ca="1" si="10"/>
        <v>72</v>
      </c>
      <c r="Q56" s="22">
        <f t="shared" ca="1" si="11"/>
        <v>496.69444444444446</v>
      </c>
      <c r="R56" s="22">
        <f t="shared" ca="1" si="12"/>
        <v>28311.583333333332</v>
      </c>
    </row>
    <row r="57" spans="2:18" x14ac:dyDescent="0.25">
      <c r="B57" s="2">
        <f t="shared" si="13"/>
        <v>51</v>
      </c>
      <c r="C57" s="2">
        <f t="shared" ca="1" si="15"/>
        <v>97</v>
      </c>
      <c r="D57" s="2" t="str">
        <f t="shared" ca="1" si="3"/>
        <v>Withdrawal</v>
      </c>
      <c r="E57" s="2">
        <f t="shared" ca="1" si="4"/>
        <v>2</v>
      </c>
      <c r="F57" s="3">
        <f t="shared" ca="1" si="16"/>
        <v>2585.7087683381296</v>
      </c>
      <c r="G57" s="2" t="str">
        <f t="shared" ca="1" si="17"/>
        <v>Checking</v>
      </c>
      <c r="H57" s="2">
        <f t="shared" ca="1" si="5"/>
        <v>1</v>
      </c>
      <c r="I57" s="10"/>
      <c r="J57" s="10"/>
      <c r="K57">
        <f t="shared" si="14"/>
        <v>51</v>
      </c>
      <c r="L57">
        <f t="shared" ca="1" si="6"/>
        <v>4</v>
      </c>
      <c r="M57" s="4">
        <f t="shared" ca="1" si="7"/>
        <v>2959</v>
      </c>
      <c r="N57" s="4">
        <f t="shared" ca="1" si="8"/>
        <v>118868</v>
      </c>
      <c r="O57" s="4">
        <f t="shared" ca="1" si="9"/>
        <v>48100</v>
      </c>
      <c r="P57">
        <f t="shared" ca="1" si="10"/>
        <v>72</v>
      </c>
      <c r="Q57" s="22">
        <f t="shared" ca="1" si="11"/>
        <v>668.05555555555554</v>
      </c>
      <c r="R57" s="22">
        <f t="shared" ca="1" si="12"/>
        <v>0</v>
      </c>
    </row>
    <row r="58" spans="2:18" x14ac:dyDescent="0.25">
      <c r="B58" s="2">
        <f t="shared" si="13"/>
        <v>52</v>
      </c>
      <c r="C58" s="2">
        <f t="shared" ca="1" si="15"/>
        <v>52</v>
      </c>
      <c r="D58" s="2" t="str">
        <f t="shared" ca="1" si="3"/>
        <v>Payment</v>
      </c>
      <c r="E58" s="2">
        <f t="shared" ca="1" si="4"/>
        <v>3</v>
      </c>
      <c r="F58" s="3">
        <f t="shared" ca="1" si="16"/>
        <v>481</v>
      </c>
      <c r="G58" s="2" t="str">
        <f t="shared" ca="1" si="17"/>
        <v>Loan</v>
      </c>
      <c r="H58" s="2">
        <f t="shared" ca="1" si="5"/>
        <v>3</v>
      </c>
      <c r="I58" s="10"/>
      <c r="J58" s="10"/>
      <c r="K58">
        <f t="shared" si="14"/>
        <v>52</v>
      </c>
      <c r="L58">
        <f t="shared" ca="1" si="6"/>
        <v>2</v>
      </c>
      <c r="M58" s="4">
        <f t="shared" ca="1" si="7"/>
        <v>7884</v>
      </c>
      <c r="N58" s="4">
        <f t="shared" ca="1" si="8"/>
        <v>142142</v>
      </c>
      <c r="O58" s="4">
        <f t="shared" ca="1" si="9"/>
        <v>37016</v>
      </c>
      <c r="P58">
        <f t="shared" ca="1" si="10"/>
        <v>48</v>
      </c>
      <c r="Q58" s="22">
        <f t="shared" ca="1" si="11"/>
        <v>771.16666666666663</v>
      </c>
      <c r="R58" s="22">
        <f t="shared" ca="1" si="12"/>
        <v>33931.333333333336</v>
      </c>
    </row>
    <row r="59" spans="2:18" x14ac:dyDescent="0.25">
      <c r="B59" s="2">
        <f t="shared" si="13"/>
        <v>53</v>
      </c>
      <c r="C59" s="2">
        <f t="shared" ca="1" si="15"/>
        <v>6</v>
      </c>
      <c r="D59" s="2" t="str">
        <f t="shared" ca="1" si="3"/>
        <v>Withdrawal</v>
      </c>
      <c r="E59" s="2">
        <f t="shared" ca="1" si="4"/>
        <v>2</v>
      </c>
      <c r="F59" s="3">
        <f t="shared" ca="1" si="16"/>
        <v>53309.878608729196</v>
      </c>
      <c r="G59" s="2" t="str">
        <f t="shared" ca="1" si="17"/>
        <v>Savings</v>
      </c>
      <c r="H59" s="2">
        <f t="shared" ca="1" si="5"/>
        <v>2</v>
      </c>
      <c r="I59" s="10"/>
      <c r="J59" s="10"/>
      <c r="K59">
        <f t="shared" si="14"/>
        <v>53</v>
      </c>
      <c r="L59">
        <f t="shared" ca="1" si="6"/>
        <v>1</v>
      </c>
      <c r="M59" s="4">
        <f t="shared" ca="1" si="7"/>
        <v>3760</v>
      </c>
      <c r="N59" s="4">
        <f t="shared" ca="1" si="8"/>
        <v>132160</v>
      </c>
      <c r="O59" s="4">
        <f t="shared" ca="1" si="9"/>
        <v>46098</v>
      </c>
      <c r="P59">
        <f t="shared" ca="1" si="10"/>
        <v>48</v>
      </c>
      <c r="Q59" s="22">
        <f t="shared" ca="1" si="11"/>
        <v>960.375</v>
      </c>
      <c r="R59" s="22">
        <f t="shared" ca="1" si="12"/>
        <v>18247.125</v>
      </c>
    </row>
    <row r="60" spans="2:18" x14ac:dyDescent="0.25">
      <c r="B60" s="2">
        <f t="shared" si="13"/>
        <v>54</v>
      </c>
      <c r="C60" s="2">
        <f t="shared" ca="1" si="15"/>
        <v>69</v>
      </c>
      <c r="D60" s="2" t="str">
        <f t="shared" ca="1" si="3"/>
        <v>Deposit</v>
      </c>
      <c r="E60" s="2">
        <f t="shared" ca="1" si="4"/>
        <v>1</v>
      </c>
      <c r="F60" s="3">
        <f t="shared" ca="1" si="16"/>
        <v>51476.426381439473</v>
      </c>
      <c r="G60" s="2" t="str">
        <f t="shared" ca="1" si="17"/>
        <v>Savings</v>
      </c>
      <c r="H60" s="2">
        <f t="shared" ca="1" si="5"/>
        <v>2</v>
      </c>
      <c r="I60" s="10"/>
      <c r="J60" s="10"/>
      <c r="K60">
        <f t="shared" si="14"/>
        <v>54</v>
      </c>
      <c r="L60">
        <f t="shared" ca="1" si="6"/>
        <v>5</v>
      </c>
      <c r="M60" s="4">
        <f t="shared" ca="1" si="7"/>
        <v>6367</v>
      </c>
      <c r="N60" s="4">
        <f t="shared" ca="1" si="8"/>
        <v>171993</v>
      </c>
      <c r="O60" s="4">
        <f t="shared" ca="1" si="9"/>
        <v>46492</v>
      </c>
      <c r="P60">
        <f t="shared" ca="1" si="10"/>
        <v>48</v>
      </c>
      <c r="Q60" s="22">
        <f t="shared" ca="1" si="11"/>
        <v>968.58333333333337</v>
      </c>
      <c r="R60" s="22">
        <f t="shared" ca="1" si="12"/>
        <v>27120.333333333332</v>
      </c>
    </row>
    <row r="61" spans="2:18" x14ac:dyDescent="0.25">
      <c r="B61" s="2">
        <f t="shared" si="13"/>
        <v>55</v>
      </c>
      <c r="C61" s="2">
        <f t="shared" ca="1" si="15"/>
        <v>61</v>
      </c>
      <c r="D61" s="2" t="str">
        <f t="shared" ca="1" si="3"/>
        <v>Payment</v>
      </c>
      <c r="E61" s="2">
        <f t="shared" ca="1" si="4"/>
        <v>3</v>
      </c>
      <c r="F61" s="3">
        <f t="shared" ca="1" si="16"/>
        <v>136</v>
      </c>
      <c r="G61" s="2" t="str">
        <f t="shared" ca="1" si="17"/>
        <v>Loan</v>
      </c>
      <c r="H61" s="2">
        <f t="shared" ca="1" si="5"/>
        <v>3</v>
      </c>
      <c r="I61" s="10"/>
      <c r="J61" s="10"/>
      <c r="K61">
        <f t="shared" si="14"/>
        <v>55</v>
      </c>
      <c r="L61">
        <f t="shared" ca="1" si="6"/>
        <v>2</v>
      </c>
      <c r="M61" s="4">
        <f t="shared" ca="1" si="7"/>
        <v>1666</v>
      </c>
      <c r="N61" s="4">
        <f t="shared" ca="1" si="8"/>
        <v>103639</v>
      </c>
      <c r="O61" s="4">
        <f t="shared" ca="1" si="9"/>
        <v>49971</v>
      </c>
      <c r="P61">
        <f t="shared" ca="1" si="10"/>
        <v>60</v>
      </c>
      <c r="Q61" s="22">
        <f t="shared" ca="1" si="11"/>
        <v>832.85</v>
      </c>
      <c r="R61" s="22">
        <f t="shared" ca="1" si="12"/>
        <v>4164.25</v>
      </c>
    </row>
    <row r="62" spans="2:18" x14ac:dyDescent="0.25">
      <c r="B62" s="2">
        <f t="shared" si="13"/>
        <v>56</v>
      </c>
      <c r="C62" s="2">
        <f t="shared" ca="1" si="15"/>
        <v>18</v>
      </c>
      <c r="D62" s="2" t="str">
        <f t="shared" ca="1" si="3"/>
        <v>Deposit</v>
      </c>
      <c r="E62" s="2">
        <f t="shared" ca="1" si="4"/>
        <v>1</v>
      </c>
      <c r="F62" s="3">
        <f t="shared" ca="1" si="16"/>
        <v>272.19406525843294</v>
      </c>
      <c r="G62" s="2" t="str">
        <f t="shared" ca="1" si="17"/>
        <v>Checking</v>
      </c>
      <c r="H62" s="2">
        <f t="shared" ca="1" si="5"/>
        <v>1</v>
      </c>
      <c r="I62" s="10"/>
      <c r="J62" s="10"/>
      <c r="K62">
        <f t="shared" si="14"/>
        <v>56</v>
      </c>
      <c r="L62">
        <f t="shared" ca="1" si="6"/>
        <v>1</v>
      </c>
      <c r="M62" s="4">
        <f t="shared" ca="1" si="7"/>
        <v>3126</v>
      </c>
      <c r="N62" s="4">
        <f t="shared" ca="1" si="8"/>
        <v>116457</v>
      </c>
      <c r="O62" s="4">
        <f t="shared" ca="1" si="9"/>
        <v>10577</v>
      </c>
      <c r="P62">
        <f t="shared" ca="1" si="10"/>
        <v>60</v>
      </c>
      <c r="Q62" s="22">
        <f t="shared" ca="1" si="11"/>
        <v>176.28333333333333</v>
      </c>
      <c r="R62" s="22">
        <f t="shared" ca="1" si="12"/>
        <v>9695.5833333333339</v>
      </c>
    </row>
    <row r="63" spans="2:18" x14ac:dyDescent="0.25">
      <c r="B63" s="2">
        <f t="shared" si="13"/>
        <v>57</v>
      </c>
      <c r="C63" s="2">
        <f t="shared" ca="1" si="15"/>
        <v>85</v>
      </c>
      <c r="D63" s="2" t="str">
        <f t="shared" ca="1" si="3"/>
        <v>Deposit</v>
      </c>
      <c r="E63" s="2">
        <f t="shared" ca="1" si="4"/>
        <v>1</v>
      </c>
      <c r="F63" s="3">
        <f t="shared" ca="1" si="16"/>
        <v>4975.6155481577371</v>
      </c>
      <c r="G63" s="2" t="str">
        <f t="shared" ca="1" si="17"/>
        <v>Checking</v>
      </c>
      <c r="H63" s="2">
        <f t="shared" ca="1" si="5"/>
        <v>1</v>
      </c>
      <c r="I63" s="10"/>
      <c r="J63" s="10"/>
      <c r="K63">
        <f t="shared" si="14"/>
        <v>57</v>
      </c>
      <c r="L63">
        <f t="shared" ca="1" si="6"/>
        <v>1</v>
      </c>
      <c r="M63" s="4">
        <f t="shared" ca="1" si="7"/>
        <v>4158</v>
      </c>
      <c r="N63" s="4">
        <f t="shared" ca="1" si="8"/>
        <v>99523</v>
      </c>
      <c r="O63" s="4">
        <f t="shared" ca="1" si="9"/>
        <v>32484</v>
      </c>
      <c r="P63">
        <f t="shared" ca="1" si="10"/>
        <v>48</v>
      </c>
      <c r="Q63" s="22">
        <f t="shared" ca="1" si="11"/>
        <v>676.75</v>
      </c>
      <c r="R63" s="22">
        <f t="shared" ca="1" si="12"/>
        <v>15565.25</v>
      </c>
    </row>
    <row r="64" spans="2:18" x14ac:dyDescent="0.25">
      <c r="B64" s="2">
        <f t="shared" si="13"/>
        <v>58</v>
      </c>
      <c r="C64" s="2">
        <f t="shared" ca="1" si="15"/>
        <v>50</v>
      </c>
      <c r="D64" s="2" t="str">
        <f t="shared" ca="1" si="3"/>
        <v>Withdrawal</v>
      </c>
      <c r="E64" s="2">
        <f t="shared" ca="1" si="4"/>
        <v>2</v>
      </c>
      <c r="F64" s="3">
        <f t="shared" ca="1" si="16"/>
        <v>216.30800711649158</v>
      </c>
      <c r="G64" s="2" t="str">
        <f t="shared" ca="1" si="17"/>
        <v>Checking</v>
      </c>
      <c r="H64" s="2">
        <f t="shared" ca="1" si="5"/>
        <v>1</v>
      </c>
      <c r="I64" s="10"/>
      <c r="J64" s="10"/>
      <c r="K64">
        <f t="shared" si="14"/>
        <v>58</v>
      </c>
      <c r="L64">
        <f t="shared" ca="1" si="6"/>
        <v>4</v>
      </c>
      <c r="M64" s="4">
        <f t="shared" ca="1" si="7"/>
        <v>3661</v>
      </c>
      <c r="N64" s="4">
        <f t="shared" ca="1" si="8"/>
        <v>127168</v>
      </c>
      <c r="O64" s="4">
        <f t="shared" ca="1" si="9"/>
        <v>51283</v>
      </c>
      <c r="P64">
        <f t="shared" ca="1" si="10"/>
        <v>60</v>
      </c>
      <c r="Q64" s="22">
        <f t="shared" ca="1" si="11"/>
        <v>854.7166666666667</v>
      </c>
      <c r="R64" s="22">
        <f t="shared" ca="1" si="12"/>
        <v>0</v>
      </c>
    </row>
    <row r="65" spans="2:18" x14ac:dyDescent="0.25">
      <c r="B65" s="2">
        <f t="shared" si="13"/>
        <v>59</v>
      </c>
      <c r="C65" s="2">
        <f t="shared" ca="1" si="15"/>
        <v>46</v>
      </c>
      <c r="D65" s="2" t="str">
        <f t="shared" ca="1" si="3"/>
        <v>Withdrawal</v>
      </c>
      <c r="E65" s="2">
        <f t="shared" ca="1" si="4"/>
        <v>2</v>
      </c>
      <c r="F65" s="3">
        <f t="shared" ca="1" si="16"/>
        <v>1722.1272169815345</v>
      </c>
      <c r="G65" s="2" t="str">
        <f t="shared" ca="1" si="17"/>
        <v>Checking</v>
      </c>
      <c r="H65" s="2">
        <f t="shared" ca="1" si="5"/>
        <v>1</v>
      </c>
      <c r="I65" s="10"/>
      <c r="J65" s="10"/>
      <c r="K65">
        <f t="shared" si="14"/>
        <v>59</v>
      </c>
      <c r="L65">
        <f t="shared" ca="1" si="6"/>
        <v>5</v>
      </c>
      <c r="M65" s="4">
        <f t="shared" ca="1" si="7"/>
        <v>8527</v>
      </c>
      <c r="N65" s="4">
        <f t="shared" ca="1" si="8"/>
        <v>186316</v>
      </c>
      <c r="O65" s="4">
        <f t="shared" ca="1" si="9"/>
        <v>32364</v>
      </c>
      <c r="P65">
        <f t="shared" ca="1" si="10"/>
        <v>60</v>
      </c>
      <c r="Q65" s="22">
        <f t="shared" ca="1" si="11"/>
        <v>539.4</v>
      </c>
      <c r="R65" s="22">
        <f t="shared" ca="1" si="12"/>
        <v>14563.8</v>
      </c>
    </row>
    <row r="66" spans="2:18" x14ac:dyDescent="0.25">
      <c r="B66" s="2">
        <f t="shared" si="13"/>
        <v>60</v>
      </c>
      <c r="C66" s="2">
        <f t="shared" ca="1" si="15"/>
        <v>45</v>
      </c>
      <c r="D66" s="2" t="str">
        <f t="shared" ca="1" si="3"/>
        <v>Deposit</v>
      </c>
      <c r="E66" s="2">
        <f t="shared" ca="1" si="4"/>
        <v>1</v>
      </c>
      <c r="F66" s="3">
        <f t="shared" ca="1" si="16"/>
        <v>373.1440433117462</v>
      </c>
      <c r="G66" s="2" t="str">
        <f t="shared" ca="1" si="17"/>
        <v>Checking</v>
      </c>
      <c r="H66" s="2">
        <f t="shared" ca="1" si="5"/>
        <v>1</v>
      </c>
      <c r="I66" s="10"/>
      <c r="J66" s="10"/>
      <c r="K66">
        <f t="shared" si="14"/>
        <v>60</v>
      </c>
      <c r="L66">
        <f t="shared" ca="1" si="6"/>
        <v>2</v>
      </c>
      <c r="M66" s="4">
        <f t="shared" ca="1" si="7"/>
        <v>4349</v>
      </c>
      <c r="N66" s="4">
        <f t="shared" ca="1" si="8"/>
        <v>76861</v>
      </c>
      <c r="O66" s="4">
        <f t="shared" ca="1" si="9"/>
        <v>57353</v>
      </c>
      <c r="P66">
        <f t="shared" ca="1" si="10"/>
        <v>48</v>
      </c>
      <c r="Q66" s="22">
        <f t="shared" ca="1" si="11"/>
        <v>1194.8541666666667</v>
      </c>
      <c r="R66" s="22">
        <f t="shared" ca="1" si="12"/>
        <v>23897.083333333328</v>
      </c>
    </row>
    <row r="67" spans="2:18" x14ac:dyDescent="0.25">
      <c r="B67" s="2">
        <f t="shared" si="13"/>
        <v>61</v>
      </c>
      <c r="C67" s="2">
        <f t="shared" ca="1" si="15"/>
        <v>54</v>
      </c>
      <c r="D67" s="2" t="str">
        <f t="shared" ca="1" si="3"/>
        <v>Withdrawal</v>
      </c>
      <c r="E67" s="2">
        <f t="shared" ca="1" si="4"/>
        <v>2</v>
      </c>
      <c r="F67" s="3">
        <f t="shared" ca="1" si="16"/>
        <v>171614.88706471733</v>
      </c>
      <c r="G67" s="2" t="str">
        <f t="shared" ca="1" si="17"/>
        <v>Savings</v>
      </c>
      <c r="H67" s="2">
        <f t="shared" ca="1" si="5"/>
        <v>2</v>
      </c>
      <c r="I67" s="10"/>
      <c r="J67" s="10"/>
      <c r="K67">
        <f t="shared" si="14"/>
        <v>61</v>
      </c>
      <c r="L67">
        <f t="shared" ca="1" si="6"/>
        <v>1</v>
      </c>
      <c r="M67" s="4">
        <f t="shared" ca="1" si="7"/>
        <v>6497</v>
      </c>
      <c r="N67" s="4">
        <f t="shared" ca="1" si="8"/>
        <v>136005</v>
      </c>
      <c r="O67" s="4">
        <f t="shared" ca="1" si="9"/>
        <v>24391</v>
      </c>
      <c r="P67">
        <f t="shared" ca="1" si="10"/>
        <v>72</v>
      </c>
      <c r="Q67" s="22">
        <f t="shared" ca="1" si="11"/>
        <v>338.76388888888891</v>
      </c>
      <c r="R67" s="22">
        <f t="shared" ca="1" si="12"/>
        <v>10162.916666666666</v>
      </c>
    </row>
    <row r="68" spans="2:18" x14ac:dyDescent="0.25">
      <c r="B68" s="2">
        <f t="shared" si="13"/>
        <v>62</v>
      </c>
      <c r="C68" s="2">
        <f t="shared" ca="1" si="15"/>
        <v>25</v>
      </c>
      <c r="D68" s="2" t="str">
        <f t="shared" ca="1" si="3"/>
        <v>Withdrawal</v>
      </c>
      <c r="E68" s="2">
        <f t="shared" ca="1" si="4"/>
        <v>2</v>
      </c>
      <c r="F68" s="3">
        <f t="shared" ca="1" si="16"/>
        <v>7565.7764461171273</v>
      </c>
      <c r="G68" s="2" t="str">
        <f t="shared" ca="1" si="17"/>
        <v>Checking</v>
      </c>
      <c r="H68" s="2">
        <f t="shared" ca="1" si="5"/>
        <v>1</v>
      </c>
      <c r="I68" s="10"/>
      <c r="J68" s="10"/>
      <c r="K68">
        <f t="shared" si="14"/>
        <v>62</v>
      </c>
      <c r="L68">
        <f t="shared" ca="1" si="6"/>
        <v>1</v>
      </c>
      <c r="M68" s="4">
        <f t="shared" ca="1" si="7"/>
        <v>5653</v>
      </c>
      <c r="N68" s="4">
        <f t="shared" ca="1" si="8"/>
        <v>73044</v>
      </c>
      <c r="O68" s="4">
        <f t="shared" ca="1" si="9"/>
        <v>39167</v>
      </c>
      <c r="P68">
        <f t="shared" ca="1" si="10"/>
        <v>60</v>
      </c>
      <c r="Q68" s="22">
        <f t="shared" ca="1" si="11"/>
        <v>652.7833333333333</v>
      </c>
      <c r="R68" s="22">
        <f t="shared" ca="1" si="12"/>
        <v>12402.883333333335</v>
      </c>
    </row>
    <row r="69" spans="2:18" x14ac:dyDescent="0.25">
      <c r="B69" s="2">
        <f t="shared" si="13"/>
        <v>63</v>
      </c>
      <c r="C69" s="2">
        <f t="shared" ca="1" si="15"/>
        <v>50</v>
      </c>
      <c r="D69" s="2" t="str">
        <f t="shared" ca="1" si="3"/>
        <v>Deposit</v>
      </c>
      <c r="E69" s="2">
        <f t="shared" ca="1" si="4"/>
        <v>1</v>
      </c>
      <c r="F69" s="3">
        <f t="shared" ca="1" si="16"/>
        <v>82284.281005327604</v>
      </c>
      <c r="G69" s="2" t="str">
        <f t="shared" ca="1" si="17"/>
        <v>Savings</v>
      </c>
      <c r="H69" s="2">
        <f t="shared" ca="1" si="5"/>
        <v>2</v>
      </c>
      <c r="I69" s="10"/>
      <c r="J69" s="10"/>
      <c r="K69">
        <f t="shared" si="14"/>
        <v>63</v>
      </c>
      <c r="L69">
        <f t="shared" ca="1" si="6"/>
        <v>2</v>
      </c>
      <c r="M69" s="4">
        <f t="shared" ca="1" si="7"/>
        <v>8542</v>
      </c>
      <c r="N69" s="4">
        <f t="shared" ca="1" si="8"/>
        <v>154865</v>
      </c>
      <c r="O69" s="4">
        <f t="shared" ca="1" si="9"/>
        <v>24829</v>
      </c>
      <c r="P69">
        <f t="shared" ca="1" si="10"/>
        <v>60</v>
      </c>
      <c r="Q69" s="22">
        <f t="shared" ca="1" si="11"/>
        <v>413.81666666666666</v>
      </c>
      <c r="R69" s="22">
        <f t="shared" ca="1" si="12"/>
        <v>9931.6</v>
      </c>
    </row>
    <row r="70" spans="2:18" x14ac:dyDescent="0.25">
      <c r="B70" s="2">
        <f t="shared" si="13"/>
        <v>64</v>
      </c>
      <c r="C70" s="2">
        <f t="shared" ca="1" si="15"/>
        <v>14</v>
      </c>
      <c r="D70" s="2" t="str">
        <f t="shared" ca="1" si="3"/>
        <v>Withdrawal</v>
      </c>
      <c r="E70" s="2">
        <f t="shared" ca="1" si="4"/>
        <v>2</v>
      </c>
      <c r="F70" s="3">
        <f t="shared" ca="1" si="16"/>
        <v>112716.84865062201</v>
      </c>
      <c r="G70" s="2" t="str">
        <f t="shared" ca="1" si="17"/>
        <v>Savings</v>
      </c>
      <c r="H70" s="2">
        <f t="shared" ca="1" si="5"/>
        <v>2</v>
      </c>
      <c r="I70" s="10"/>
      <c r="J70" s="10"/>
      <c r="K70">
        <f t="shared" si="14"/>
        <v>64</v>
      </c>
      <c r="L70">
        <f t="shared" ca="1" si="6"/>
        <v>2</v>
      </c>
      <c r="M70" s="4">
        <f t="shared" ca="1" si="7"/>
        <v>6277</v>
      </c>
      <c r="N70" s="4">
        <f t="shared" ca="1" si="8"/>
        <v>88945</v>
      </c>
      <c r="O70" s="4">
        <f t="shared" ca="1" si="9"/>
        <v>58028</v>
      </c>
      <c r="P70">
        <f t="shared" ca="1" si="10"/>
        <v>48</v>
      </c>
      <c r="Q70" s="22">
        <f t="shared" ca="1" si="11"/>
        <v>1208.9166666666667</v>
      </c>
      <c r="R70" s="22">
        <f t="shared" ca="1" si="12"/>
        <v>4835.6666666666642</v>
      </c>
    </row>
    <row r="71" spans="2:18" x14ac:dyDescent="0.25">
      <c r="B71" s="2">
        <f t="shared" si="13"/>
        <v>65</v>
      </c>
      <c r="C71" s="2">
        <f t="shared" ca="1" si="15"/>
        <v>43</v>
      </c>
      <c r="D71" s="2" t="str">
        <f t="shared" ca="1" si="3"/>
        <v>Deposit</v>
      </c>
      <c r="E71" s="2">
        <f t="shared" ca="1" si="4"/>
        <v>1</v>
      </c>
      <c r="F71" s="3">
        <f t="shared" ref="F71:F102" ca="1" si="18">IF(G71="Checking",RAND()*VLOOKUP($C71,$K$6:$O$106,3),IF(G71="Savings",RAND()*VLOOKUP($C71,$K$6:$O$106,4),IF(G71="Loan",RANDBETWEEN(100,700))))</f>
        <v>36261.85494328347</v>
      </c>
      <c r="G71" s="2" t="str">
        <f t="shared" ref="G71:G102" ca="1" si="19">IF(E71=3,"Loan",IF(H71=1, "Checking",IF(H71=2, "Savings")))</f>
        <v>Savings</v>
      </c>
      <c r="H71" s="2">
        <f t="shared" ca="1" si="5"/>
        <v>2</v>
      </c>
      <c r="I71" s="10"/>
      <c r="J71" s="10"/>
      <c r="K71">
        <f t="shared" si="14"/>
        <v>65</v>
      </c>
      <c r="L71">
        <f t="shared" ca="1" si="6"/>
        <v>4</v>
      </c>
      <c r="M71" s="4">
        <f t="shared" ca="1" si="7"/>
        <v>6255</v>
      </c>
      <c r="N71" s="4">
        <f t="shared" ca="1" si="8"/>
        <v>147088</v>
      </c>
      <c r="O71" s="4">
        <f t="shared" ca="1" si="9"/>
        <v>48172</v>
      </c>
      <c r="P71">
        <f t="shared" ca="1" si="10"/>
        <v>60</v>
      </c>
      <c r="Q71" s="22">
        <f t="shared" ca="1" si="11"/>
        <v>802.86666666666667</v>
      </c>
      <c r="R71" s="22">
        <f t="shared" ca="1" si="12"/>
        <v>43354.8</v>
      </c>
    </row>
    <row r="72" spans="2:18" x14ac:dyDescent="0.25">
      <c r="B72" s="2">
        <f t="shared" si="13"/>
        <v>66</v>
      </c>
      <c r="C72" s="2">
        <f t="shared" ref="C72:C128" ca="1" si="20">RANDBETWEEN(1,100)</f>
        <v>21</v>
      </c>
      <c r="D72" s="2" t="str">
        <f t="shared" ref="D72:D128" ca="1" si="21">IF(E72=1, "Deposit",IF(E72=2, "Withdrawal",IF(E72=3, "Payment",)))</f>
        <v>Withdrawal</v>
      </c>
      <c r="E72" s="2">
        <f t="shared" ref="E72:E128" ca="1" si="22">RANDBETWEEN(1,3)</f>
        <v>2</v>
      </c>
      <c r="F72" s="3">
        <f t="shared" ca="1" si="18"/>
        <v>1229.5988037356062</v>
      </c>
      <c r="G72" s="2" t="str">
        <f t="shared" ca="1" si="19"/>
        <v>Checking</v>
      </c>
      <c r="H72" s="2">
        <f t="shared" ref="H72:H128" ca="1" si="23">IF(D72="Payment",3,RANDBETWEEN(1,2))</f>
        <v>1</v>
      </c>
      <c r="I72" s="10"/>
      <c r="J72" s="10"/>
      <c r="K72">
        <f t="shared" si="14"/>
        <v>66</v>
      </c>
      <c r="L72">
        <f t="shared" ref="L72:L106" ca="1" si="24">RANDBETWEEN(1,5)</f>
        <v>2</v>
      </c>
      <c r="M72" s="4">
        <f t="shared" ref="M72:M106" ca="1" si="25">RANDBETWEEN(0,10000)</f>
        <v>4247</v>
      </c>
      <c r="N72" s="4">
        <f t="shared" ref="N72:N106" ca="1" si="26">IF($L72=1,RANDBETWEEN(50000,150000),IF($L72=2,RANDBETWEEN(75000,175000),IF($L72=3,RANDBETWEEN(25000,125000),IF($L72=4,RANDBETWEEN(100000,150000),IF($L72=5,RANDBETWEEN(150000,200000))))))</f>
        <v>151148</v>
      </c>
      <c r="O72" s="4">
        <f t="shared" ref="O72:O106" ca="1" si="27">RANDBETWEEN(10000,60000)</f>
        <v>23148</v>
      </c>
      <c r="P72">
        <f t="shared" ref="P72:P106" ca="1" si="28">IF(RANDBETWEEN(1,3)=1,48,IF(RANDBETWEEN(1,2)=1,60,72))</f>
        <v>60</v>
      </c>
      <c r="Q72" s="22">
        <f t="shared" ref="Q72:Q106" ca="1" si="29">O72/P72</f>
        <v>385.8</v>
      </c>
      <c r="R72" s="22">
        <f t="shared" ref="R72:R106" ca="1" si="30">O72-(RANDBETWEEN(1,$P72)*Q72)</f>
        <v>11574</v>
      </c>
    </row>
    <row r="73" spans="2:18" x14ac:dyDescent="0.25">
      <c r="B73" s="2">
        <f t="shared" ref="B73:B128" si="31">B72+1</f>
        <v>67</v>
      </c>
      <c r="C73" s="2">
        <f t="shared" ca="1" si="20"/>
        <v>45</v>
      </c>
      <c r="D73" s="2" t="str">
        <f t="shared" ca="1" si="21"/>
        <v>Payment</v>
      </c>
      <c r="E73" s="2">
        <f t="shared" ca="1" si="22"/>
        <v>3</v>
      </c>
      <c r="F73" s="3">
        <f t="shared" ca="1" si="18"/>
        <v>676</v>
      </c>
      <c r="G73" s="2" t="str">
        <f t="shared" ca="1" si="19"/>
        <v>Loan</v>
      </c>
      <c r="H73" s="2">
        <f t="shared" ca="1" si="23"/>
        <v>3</v>
      </c>
      <c r="I73" s="10"/>
      <c r="J73" s="10"/>
      <c r="K73">
        <f t="shared" ref="K73:K106" si="32">K72+1</f>
        <v>67</v>
      </c>
      <c r="L73">
        <f t="shared" ca="1" si="24"/>
        <v>5</v>
      </c>
      <c r="M73" s="4">
        <f t="shared" ca="1" si="25"/>
        <v>4137</v>
      </c>
      <c r="N73" s="4">
        <f t="shared" ca="1" si="26"/>
        <v>166162</v>
      </c>
      <c r="O73" s="4">
        <f t="shared" ca="1" si="27"/>
        <v>21740</v>
      </c>
      <c r="P73">
        <f t="shared" ca="1" si="28"/>
        <v>60</v>
      </c>
      <c r="Q73" s="22">
        <f t="shared" ca="1" si="29"/>
        <v>362.33333333333331</v>
      </c>
      <c r="R73" s="22">
        <f t="shared" ca="1" si="30"/>
        <v>13768.666666666668</v>
      </c>
    </row>
    <row r="74" spans="2:18" x14ac:dyDescent="0.25">
      <c r="B74" s="2">
        <f t="shared" si="31"/>
        <v>68</v>
      </c>
      <c r="C74" s="2">
        <f t="shared" ca="1" si="20"/>
        <v>93</v>
      </c>
      <c r="D74" s="2" t="str">
        <f t="shared" ca="1" si="21"/>
        <v>Payment</v>
      </c>
      <c r="E74" s="2">
        <f t="shared" ca="1" si="22"/>
        <v>3</v>
      </c>
      <c r="F74" s="3">
        <f t="shared" ca="1" si="18"/>
        <v>667</v>
      </c>
      <c r="G74" s="2" t="str">
        <f t="shared" ca="1" si="19"/>
        <v>Loan</v>
      </c>
      <c r="H74" s="2">
        <f t="shared" ca="1" si="23"/>
        <v>3</v>
      </c>
      <c r="I74" s="10"/>
      <c r="J74" s="10"/>
      <c r="K74">
        <f t="shared" si="32"/>
        <v>68</v>
      </c>
      <c r="L74">
        <f t="shared" ca="1" si="24"/>
        <v>2</v>
      </c>
      <c r="M74" s="4">
        <f t="shared" ca="1" si="25"/>
        <v>8911</v>
      </c>
      <c r="N74" s="4">
        <f t="shared" ca="1" si="26"/>
        <v>108322</v>
      </c>
      <c r="O74" s="4">
        <f t="shared" ca="1" si="27"/>
        <v>55945</v>
      </c>
      <c r="P74">
        <f t="shared" ca="1" si="28"/>
        <v>60</v>
      </c>
      <c r="Q74" s="22">
        <f t="shared" ca="1" si="29"/>
        <v>932.41666666666663</v>
      </c>
      <c r="R74" s="22">
        <f t="shared" ca="1" si="30"/>
        <v>45688.416666666672</v>
      </c>
    </row>
    <row r="75" spans="2:18" x14ac:dyDescent="0.25">
      <c r="B75" s="2">
        <f t="shared" si="31"/>
        <v>69</v>
      </c>
      <c r="C75" s="2">
        <f t="shared" ca="1" si="20"/>
        <v>68</v>
      </c>
      <c r="D75" s="2" t="str">
        <f t="shared" ca="1" si="21"/>
        <v>Withdrawal</v>
      </c>
      <c r="E75" s="2">
        <f t="shared" ca="1" si="22"/>
        <v>2</v>
      </c>
      <c r="F75" s="3">
        <f t="shared" ca="1" si="18"/>
        <v>8630.9901188148688</v>
      </c>
      <c r="G75" s="2" t="str">
        <f t="shared" ca="1" si="19"/>
        <v>Checking</v>
      </c>
      <c r="H75" s="2">
        <f t="shared" ca="1" si="23"/>
        <v>1</v>
      </c>
      <c r="I75" s="10"/>
      <c r="J75" s="10"/>
      <c r="K75">
        <f t="shared" si="32"/>
        <v>69</v>
      </c>
      <c r="L75">
        <f t="shared" ca="1" si="24"/>
        <v>4</v>
      </c>
      <c r="M75" s="4">
        <f t="shared" ca="1" si="25"/>
        <v>7443</v>
      </c>
      <c r="N75" s="4">
        <f t="shared" ca="1" si="26"/>
        <v>115693</v>
      </c>
      <c r="O75" s="4">
        <f t="shared" ca="1" si="27"/>
        <v>17067</v>
      </c>
      <c r="P75">
        <f t="shared" ca="1" si="28"/>
        <v>60</v>
      </c>
      <c r="Q75" s="22">
        <f t="shared" ca="1" si="29"/>
        <v>284.45</v>
      </c>
      <c r="R75" s="22">
        <f t="shared" ca="1" si="30"/>
        <v>7111.25</v>
      </c>
    </row>
    <row r="76" spans="2:18" x14ac:dyDescent="0.25">
      <c r="B76" s="2">
        <f t="shared" si="31"/>
        <v>70</v>
      </c>
      <c r="C76" s="2">
        <f t="shared" ca="1" si="20"/>
        <v>46</v>
      </c>
      <c r="D76" s="2" t="str">
        <f t="shared" ca="1" si="21"/>
        <v>Withdrawal</v>
      </c>
      <c r="E76" s="2">
        <f t="shared" ca="1" si="22"/>
        <v>2</v>
      </c>
      <c r="F76" s="3">
        <f t="shared" ca="1" si="18"/>
        <v>25041.202673298081</v>
      </c>
      <c r="G76" s="2" t="str">
        <f t="shared" ca="1" si="19"/>
        <v>Savings</v>
      </c>
      <c r="H76" s="2">
        <f t="shared" ca="1" si="23"/>
        <v>2</v>
      </c>
      <c r="I76" s="10"/>
      <c r="J76" s="10"/>
      <c r="K76">
        <f t="shared" si="32"/>
        <v>70</v>
      </c>
      <c r="L76">
        <f t="shared" ca="1" si="24"/>
        <v>2</v>
      </c>
      <c r="M76" s="4">
        <f t="shared" ca="1" si="25"/>
        <v>7063</v>
      </c>
      <c r="N76" s="4">
        <f t="shared" ca="1" si="26"/>
        <v>92367</v>
      </c>
      <c r="O76" s="4">
        <f t="shared" ca="1" si="27"/>
        <v>48355</v>
      </c>
      <c r="P76">
        <f t="shared" ca="1" si="28"/>
        <v>72</v>
      </c>
      <c r="Q76" s="22">
        <f t="shared" ca="1" si="29"/>
        <v>671.59722222222217</v>
      </c>
      <c r="R76" s="22">
        <f t="shared" ca="1" si="30"/>
        <v>39624.236111111109</v>
      </c>
    </row>
    <row r="77" spans="2:18" x14ac:dyDescent="0.25">
      <c r="B77" s="2">
        <f t="shared" si="31"/>
        <v>71</v>
      </c>
      <c r="C77" s="2">
        <f t="shared" ca="1" si="20"/>
        <v>13</v>
      </c>
      <c r="D77" s="2" t="str">
        <f t="shared" ca="1" si="21"/>
        <v>Payment</v>
      </c>
      <c r="E77" s="2">
        <f t="shared" ca="1" si="22"/>
        <v>3</v>
      </c>
      <c r="F77" s="3">
        <f t="shared" ca="1" si="18"/>
        <v>262</v>
      </c>
      <c r="G77" s="2" t="str">
        <f t="shared" ca="1" si="19"/>
        <v>Loan</v>
      </c>
      <c r="H77" s="2">
        <f t="shared" ca="1" si="23"/>
        <v>3</v>
      </c>
      <c r="I77" s="10"/>
      <c r="J77" s="10"/>
      <c r="K77">
        <f t="shared" si="32"/>
        <v>71</v>
      </c>
      <c r="L77">
        <f t="shared" ca="1" si="24"/>
        <v>1</v>
      </c>
      <c r="M77" s="4">
        <f t="shared" ca="1" si="25"/>
        <v>8759</v>
      </c>
      <c r="N77" s="4">
        <f t="shared" ca="1" si="26"/>
        <v>73017</v>
      </c>
      <c r="O77" s="4">
        <f t="shared" ca="1" si="27"/>
        <v>44831</v>
      </c>
      <c r="P77">
        <f t="shared" ca="1" si="28"/>
        <v>48</v>
      </c>
      <c r="Q77" s="22">
        <f t="shared" ca="1" si="29"/>
        <v>933.97916666666663</v>
      </c>
      <c r="R77" s="22">
        <f t="shared" ca="1" si="30"/>
        <v>30821.3125</v>
      </c>
    </row>
    <row r="78" spans="2:18" x14ac:dyDescent="0.25">
      <c r="B78" s="2">
        <f t="shared" si="31"/>
        <v>72</v>
      </c>
      <c r="C78" s="2">
        <f t="shared" ca="1" si="20"/>
        <v>80</v>
      </c>
      <c r="D78" s="2" t="str">
        <f t="shared" ca="1" si="21"/>
        <v>Withdrawal</v>
      </c>
      <c r="E78" s="2">
        <f t="shared" ca="1" si="22"/>
        <v>2</v>
      </c>
      <c r="F78" s="3">
        <f t="shared" ca="1" si="18"/>
        <v>19158.43712490773</v>
      </c>
      <c r="G78" s="2" t="str">
        <f t="shared" ca="1" si="19"/>
        <v>Savings</v>
      </c>
      <c r="H78" s="2">
        <f t="shared" ca="1" si="23"/>
        <v>2</v>
      </c>
      <c r="I78" s="10"/>
      <c r="J78" s="10"/>
      <c r="K78">
        <f t="shared" si="32"/>
        <v>72</v>
      </c>
      <c r="L78">
        <f t="shared" ca="1" si="24"/>
        <v>4</v>
      </c>
      <c r="M78" s="4">
        <f t="shared" ca="1" si="25"/>
        <v>8691</v>
      </c>
      <c r="N78" s="4">
        <f t="shared" ca="1" si="26"/>
        <v>136157</v>
      </c>
      <c r="O78" s="4">
        <f t="shared" ca="1" si="27"/>
        <v>13103</v>
      </c>
      <c r="P78">
        <f t="shared" ca="1" si="28"/>
        <v>48</v>
      </c>
      <c r="Q78" s="22">
        <f t="shared" ca="1" si="29"/>
        <v>272.97916666666669</v>
      </c>
      <c r="R78" s="22">
        <f t="shared" ca="1" si="30"/>
        <v>12557.041666666666</v>
      </c>
    </row>
    <row r="79" spans="2:18" x14ac:dyDescent="0.25">
      <c r="B79" s="2">
        <f t="shared" si="31"/>
        <v>73</v>
      </c>
      <c r="C79" s="2">
        <f t="shared" ca="1" si="20"/>
        <v>86</v>
      </c>
      <c r="D79" s="2" t="str">
        <f t="shared" ca="1" si="21"/>
        <v>Deposit</v>
      </c>
      <c r="E79" s="2">
        <f t="shared" ca="1" si="22"/>
        <v>1</v>
      </c>
      <c r="F79" s="3">
        <f t="shared" ca="1" si="18"/>
        <v>103792.76099981577</v>
      </c>
      <c r="G79" s="2" t="str">
        <f t="shared" ca="1" si="19"/>
        <v>Savings</v>
      </c>
      <c r="H79" s="2">
        <f t="shared" ca="1" si="23"/>
        <v>2</v>
      </c>
      <c r="I79" s="10"/>
      <c r="J79" s="10"/>
      <c r="K79">
        <f t="shared" si="32"/>
        <v>73</v>
      </c>
      <c r="L79">
        <f t="shared" ca="1" si="24"/>
        <v>2</v>
      </c>
      <c r="M79" s="4">
        <f t="shared" ca="1" si="25"/>
        <v>8707</v>
      </c>
      <c r="N79" s="4">
        <f t="shared" ca="1" si="26"/>
        <v>163017</v>
      </c>
      <c r="O79" s="4">
        <f t="shared" ca="1" si="27"/>
        <v>43464</v>
      </c>
      <c r="P79">
        <f t="shared" ca="1" si="28"/>
        <v>60</v>
      </c>
      <c r="Q79" s="22">
        <f t="shared" ca="1" si="29"/>
        <v>724.4</v>
      </c>
      <c r="R79" s="22">
        <f t="shared" ca="1" si="30"/>
        <v>42739.6</v>
      </c>
    </row>
    <row r="80" spans="2:18" x14ac:dyDescent="0.25">
      <c r="B80" s="2">
        <f t="shared" si="31"/>
        <v>74</v>
      </c>
      <c r="C80" s="2">
        <f t="shared" ca="1" si="20"/>
        <v>46</v>
      </c>
      <c r="D80" s="2" t="str">
        <f t="shared" ca="1" si="21"/>
        <v>Deposit</v>
      </c>
      <c r="E80" s="2">
        <f t="shared" ca="1" si="22"/>
        <v>1</v>
      </c>
      <c r="F80" s="3">
        <f t="shared" ca="1" si="18"/>
        <v>10030.442387185025</v>
      </c>
      <c r="G80" s="2" t="str">
        <f t="shared" ca="1" si="19"/>
        <v>Savings</v>
      </c>
      <c r="H80" s="2">
        <f t="shared" ca="1" si="23"/>
        <v>2</v>
      </c>
      <c r="I80" s="10"/>
      <c r="J80" s="10"/>
      <c r="K80">
        <f t="shared" si="32"/>
        <v>74</v>
      </c>
      <c r="L80">
        <f t="shared" ca="1" si="24"/>
        <v>2</v>
      </c>
      <c r="M80" s="4">
        <f t="shared" ca="1" si="25"/>
        <v>7080</v>
      </c>
      <c r="N80" s="4">
        <f t="shared" ca="1" si="26"/>
        <v>164817</v>
      </c>
      <c r="O80" s="4">
        <f t="shared" ca="1" si="27"/>
        <v>16293</v>
      </c>
      <c r="P80">
        <f t="shared" ca="1" si="28"/>
        <v>48</v>
      </c>
      <c r="Q80" s="22">
        <f t="shared" ca="1" si="29"/>
        <v>339.4375</v>
      </c>
      <c r="R80" s="22">
        <f t="shared" ca="1" si="30"/>
        <v>678.875</v>
      </c>
    </row>
    <row r="81" spans="2:18" x14ac:dyDescent="0.25">
      <c r="B81" s="2">
        <f t="shared" si="31"/>
        <v>75</v>
      </c>
      <c r="C81" s="2">
        <f t="shared" ca="1" si="20"/>
        <v>67</v>
      </c>
      <c r="D81" s="2" t="str">
        <f t="shared" ca="1" si="21"/>
        <v>Deposit</v>
      </c>
      <c r="E81" s="2">
        <f t="shared" ca="1" si="22"/>
        <v>1</v>
      </c>
      <c r="F81" s="3">
        <f t="shared" ca="1" si="18"/>
        <v>1420.9974521171919</v>
      </c>
      <c r="G81" s="2" t="str">
        <f t="shared" ca="1" si="19"/>
        <v>Checking</v>
      </c>
      <c r="H81" s="2">
        <f t="shared" ca="1" si="23"/>
        <v>1</v>
      </c>
      <c r="I81" s="10"/>
      <c r="J81" s="10"/>
      <c r="K81">
        <f t="shared" si="32"/>
        <v>75</v>
      </c>
      <c r="L81">
        <f t="shared" ca="1" si="24"/>
        <v>1</v>
      </c>
      <c r="M81" s="4">
        <f t="shared" ca="1" si="25"/>
        <v>3536</v>
      </c>
      <c r="N81" s="4">
        <f t="shared" ca="1" si="26"/>
        <v>50447</v>
      </c>
      <c r="O81" s="4">
        <f t="shared" ca="1" si="27"/>
        <v>59974</v>
      </c>
      <c r="P81">
        <f t="shared" ca="1" si="28"/>
        <v>72</v>
      </c>
      <c r="Q81" s="22">
        <f t="shared" ca="1" si="29"/>
        <v>832.97222222222217</v>
      </c>
      <c r="R81" s="22">
        <f t="shared" ca="1" si="30"/>
        <v>56642.111111111109</v>
      </c>
    </row>
    <row r="82" spans="2:18" x14ac:dyDescent="0.25">
      <c r="B82" s="2">
        <f t="shared" si="31"/>
        <v>76</v>
      </c>
      <c r="C82" s="2">
        <f t="shared" ca="1" si="20"/>
        <v>81</v>
      </c>
      <c r="D82" s="2" t="str">
        <f t="shared" ca="1" si="21"/>
        <v>Withdrawal</v>
      </c>
      <c r="E82" s="2">
        <f t="shared" ca="1" si="22"/>
        <v>2</v>
      </c>
      <c r="F82" s="3">
        <f t="shared" ca="1" si="18"/>
        <v>2535.0124588479462</v>
      </c>
      <c r="G82" s="2" t="str">
        <f t="shared" ca="1" si="19"/>
        <v>Checking</v>
      </c>
      <c r="H82" s="2">
        <f t="shared" ca="1" si="23"/>
        <v>1</v>
      </c>
      <c r="I82" s="10"/>
      <c r="J82" s="10"/>
      <c r="K82">
        <f t="shared" si="32"/>
        <v>76</v>
      </c>
      <c r="L82">
        <f t="shared" ca="1" si="24"/>
        <v>4</v>
      </c>
      <c r="M82" s="4">
        <f t="shared" ca="1" si="25"/>
        <v>1907</v>
      </c>
      <c r="N82" s="4">
        <f t="shared" ca="1" si="26"/>
        <v>105158</v>
      </c>
      <c r="O82" s="4">
        <f t="shared" ca="1" si="27"/>
        <v>46854</v>
      </c>
      <c r="P82">
        <f t="shared" ca="1" si="28"/>
        <v>72</v>
      </c>
      <c r="Q82" s="22">
        <f t="shared" ca="1" si="29"/>
        <v>650.75</v>
      </c>
      <c r="R82" s="22">
        <f t="shared" ca="1" si="30"/>
        <v>38394.25</v>
      </c>
    </row>
    <row r="83" spans="2:18" x14ac:dyDescent="0.25">
      <c r="B83" s="2">
        <f t="shared" si="31"/>
        <v>77</v>
      </c>
      <c r="C83" s="2">
        <f t="shared" ca="1" si="20"/>
        <v>16</v>
      </c>
      <c r="D83" s="2" t="str">
        <f t="shared" ca="1" si="21"/>
        <v>Withdrawal</v>
      </c>
      <c r="E83" s="2">
        <f t="shared" ca="1" si="22"/>
        <v>2</v>
      </c>
      <c r="F83" s="3">
        <f t="shared" ca="1" si="18"/>
        <v>73966.503883394209</v>
      </c>
      <c r="G83" s="2" t="str">
        <f t="shared" ca="1" si="19"/>
        <v>Savings</v>
      </c>
      <c r="H83" s="2">
        <f t="shared" ca="1" si="23"/>
        <v>2</v>
      </c>
      <c r="I83" s="10"/>
      <c r="J83" s="10"/>
      <c r="K83">
        <f t="shared" si="32"/>
        <v>77</v>
      </c>
      <c r="L83">
        <f t="shared" ca="1" si="24"/>
        <v>4</v>
      </c>
      <c r="M83" s="4">
        <f t="shared" ca="1" si="25"/>
        <v>4209</v>
      </c>
      <c r="N83" s="4">
        <f t="shared" ca="1" si="26"/>
        <v>103014</v>
      </c>
      <c r="O83" s="4">
        <f t="shared" ca="1" si="27"/>
        <v>12231</v>
      </c>
      <c r="P83">
        <f t="shared" ca="1" si="28"/>
        <v>72</v>
      </c>
      <c r="Q83" s="22">
        <f t="shared" ca="1" si="29"/>
        <v>169.875</v>
      </c>
      <c r="R83" s="22">
        <f t="shared" ca="1" si="30"/>
        <v>2887.875</v>
      </c>
    </row>
    <row r="84" spans="2:18" x14ac:dyDescent="0.25">
      <c r="B84" s="2">
        <f t="shared" si="31"/>
        <v>78</v>
      </c>
      <c r="C84" s="2">
        <f t="shared" ca="1" si="20"/>
        <v>35</v>
      </c>
      <c r="D84" s="2" t="str">
        <f t="shared" ca="1" si="21"/>
        <v>Withdrawal</v>
      </c>
      <c r="E84" s="2">
        <f t="shared" ca="1" si="22"/>
        <v>2</v>
      </c>
      <c r="F84" s="3">
        <f t="shared" ca="1" si="18"/>
        <v>17434.806547466564</v>
      </c>
      <c r="G84" s="2" t="str">
        <f t="shared" ca="1" si="19"/>
        <v>Savings</v>
      </c>
      <c r="H84" s="2">
        <f t="shared" ca="1" si="23"/>
        <v>2</v>
      </c>
      <c r="I84" s="10"/>
      <c r="J84" s="10"/>
      <c r="K84">
        <f t="shared" si="32"/>
        <v>78</v>
      </c>
      <c r="L84">
        <f t="shared" ca="1" si="24"/>
        <v>3</v>
      </c>
      <c r="M84" s="4">
        <f t="shared" ca="1" si="25"/>
        <v>3623</v>
      </c>
      <c r="N84" s="4">
        <f t="shared" ca="1" si="26"/>
        <v>75403</v>
      </c>
      <c r="O84" s="4">
        <f t="shared" ca="1" si="27"/>
        <v>49865</v>
      </c>
      <c r="P84">
        <f t="shared" ca="1" si="28"/>
        <v>72</v>
      </c>
      <c r="Q84" s="22">
        <f t="shared" ca="1" si="29"/>
        <v>692.56944444444446</v>
      </c>
      <c r="R84" s="22">
        <f t="shared" ca="1" si="30"/>
        <v>14543.958333333336</v>
      </c>
    </row>
    <row r="85" spans="2:18" x14ac:dyDescent="0.25">
      <c r="B85" s="2">
        <f t="shared" si="31"/>
        <v>79</v>
      </c>
      <c r="C85" s="2">
        <f t="shared" ca="1" si="20"/>
        <v>24</v>
      </c>
      <c r="D85" s="2" t="str">
        <f t="shared" ca="1" si="21"/>
        <v>Payment</v>
      </c>
      <c r="E85" s="2">
        <f t="shared" ca="1" si="22"/>
        <v>3</v>
      </c>
      <c r="F85" s="3">
        <f t="shared" ca="1" si="18"/>
        <v>352</v>
      </c>
      <c r="G85" s="2" t="str">
        <f t="shared" ca="1" si="19"/>
        <v>Loan</v>
      </c>
      <c r="H85" s="2">
        <f t="shared" ca="1" si="23"/>
        <v>3</v>
      </c>
      <c r="I85" s="10"/>
      <c r="J85" s="10"/>
      <c r="K85">
        <f t="shared" si="32"/>
        <v>79</v>
      </c>
      <c r="L85">
        <f t="shared" ca="1" si="24"/>
        <v>3</v>
      </c>
      <c r="M85" s="4">
        <f t="shared" ca="1" si="25"/>
        <v>9414</v>
      </c>
      <c r="N85" s="4">
        <f t="shared" ca="1" si="26"/>
        <v>45124</v>
      </c>
      <c r="O85" s="4">
        <f t="shared" ca="1" si="27"/>
        <v>20681</v>
      </c>
      <c r="P85">
        <f t="shared" ca="1" si="28"/>
        <v>60</v>
      </c>
      <c r="Q85" s="22">
        <f t="shared" ca="1" si="29"/>
        <v>344.68333333333334</v>
      </c>
      <c r="R85" s="22">
        <f t="shared" ca="1" si="30"/>
        <v>14476.7</v>
      </c>
    </row>
    <row r="86" spans="2:18" x14ac:dyDescent="0.25">
      <c r="B86" s="2">
        <f t="shared" si="31"/>
        <v>80</v>
      </c>
      <c r="C86" s="2">
        <f t="shared" ca="1" si="20"/>
        <v>13</v>
      </c>
      <c r="D86" s="2" t="str">
        <f t="shared" ca="1" si="21"/>
        <v>Deposit</v>
      </c>
      <c r="E86" s="2">
        <f t="shared" ca="1" si="22"/>
        <v>1</v>
      </c>
      <c r="F86" s="3">
        <f t="shared" ca="1" si="18"/>
        <v>28991.293623137146</v>
      </c>
      <c r="G86" s="2" t="str">
        <f t="shared" ca="1" si="19"/>
        <v>Savings</v>
      </c>
      <c r="H86" s="2">
        <f t="shared" ca="1" si="23"/>
        <v>2</v>
      </c>
      <c r="I86" s="10"/>
      <c r="J86" s="10"/>
      <c r="K86">
        <f t="shared" si="32"/>
        <v>80</v>
      </c>
      <c r="L86">
        <f t="shared" ca="1" si="24"/>
        <v>4</v>
      </c>
      <c r="M86" s="4">
        <f t="shared" ca="1" si="25"/>
        <v>619</v>
      </c>
      <c r="N86" s="4">
        <f t="shared" ca="1" si="26"/>
        <v>130722</v>
      </c>
      <c r="O86" s="4">
        <f t="shared" ca="1" si="27"/>
        <v>43462</v>
      </c>
      <c r="P86">
        <f t="shared" ca="1" si="28"/>
        <v>48</v>
      </c>
      <c r="Q86" s="22">
        <f t="shared" ca="1" si="29"/>
        <v>905.45833333333337</v>
      </c>
      <c r="R86" s="22">
        <f t="shared" ca="1" si="30"/>
        <v>2716.375</v>
      </c>
    </row>
    <row r="87" spans="2:18" x14ac:dyDescent="0.25">
      <c r="B87" s="2">
        <f t="shared" si="31"/>
        <v>81</v>
      </c>
      <c r="C87" s="2">
        <f t="shared" ca="1" si="20"/>
        <v>39</v>
      </c>
      <c r="D87" s="2" t="str">
        <f t="shared" ca="1" si="21"/>
        <v>Withdrawal</v>
      </c>
      <c r="E87" s="2">
        <f t="shared" ca="1" si="22"/>
        <v>2</v>
      </c>
      <c r="F87" s="3">
        <f t="shared" ca="1" si="18"/>
        <v>2891.8399081346865</v>
      </c>
      <c r="G87" s="2" t="str">
        <f t="shared" ca="1" si="19"/>
        <v>Checking</v>
      </c>
      <c r="H87" s="2">
        <f t="shared" ca="1" si="23"/>
        <v>1</v>
      </c>
      <c r="I87" s="10"/>
      <c r="J87" s="10"/>
      <c r="K87">
        <f t="shared" si="32"/>
        <v>81</v>
      </c>
      <c r="L87">
        <f t="shared" ca="1" si="24"/>
        <v>1</v>
      </c>
      <c r="M87" s="4">
        <f t="shared" ca="1" si="25"/>
        <v>7661</v>
      </c>
      <c r="N87" s="4">
        <f t="shared" ca="1" si="26"/>
        <v>98102</v>
      </c>
      <c r="O87" s="4">
        <f t="shared" ca="1" si="27"/>
        <v>37574</v>
      </c>
      <c r="P87">
        <f t="shared" ca="1" si="28"/>
        <v>72</v>
      </c>
      <c r="Q87" s="22">
        <f t="shared" ca="1" si="29"/>
        <v>521.86111111111109</v>
      </c>
      <c r="R87" s="22">
        <f t="shared" ca="1" si="30"/>
        <v>9393.5</v>
      </c>
    </row>
    <row r="88" spans="2:18" x14ac:dyDescent="0.25">
      <c r="B88" s="2">
        <f t="shared" si="31"/>
        <v>82</v>
      </c>
      <c r="C88" s="2">
        <f t="shared" ca="1" si="20"/>
        <v>22</v>
      </c>
      <c r="D88" s="2" t="str">
        <f t="shared" ca="1" si="21"/>
        <v>Payment</v>
      </c>
      <c r="E88" s="2">
        <f t="shared" ca="1" si="22"/>
        <v>3</v>
      </c>
      <c r="F88" s="3">
        <f t="shared" ca="1" si="18"/>
        <v>617</v>
      </c>
      <c r="G88" s="2" t="str">
        <f t="shared" ca="1" si="19"/>
        <v>Loan</v>
      </c>
      <c r="H88" s="2">
        <f t="shared" ca="1" si="23"/>
        <v>3</v>
      </c>
      <c r="I88" s="10"/>
      <c r="J88" s="10"/>
      <c r="K88">
        <f t="shared" si="32"/>
        <v>82</v>
      </c>
      <c r="L88">
        <f t="shared" ca="1" si="24"/>
        <v>2</v>
      </c>
      <c r="M88" s="4">
        <f t="shared" ca="1" si="25"/>
        <v>2077</v>
      </c>
      <c r="N88" s="4">
        <f t="shared" ca="1" si="26"/>
        <v>75097</v>
      </c>
      <c r="O88" s="4">
        <f t="shared" ca="1" si="27"/>
        <v>31538</v>
      </c>
      <c r="P88">
        <f t="shared" ca="1" si="28"/>
        <v>72</v>
      </c>
      <c r="Q88" s="22">
        <f t="shared" ca="1" si="29"/>
        <v>438.02777777777777</v>
      </c>
      <c r="R88" s="22">
        <f t="shared" ca="1" si="30"/>
        <v>11826.75</v>
      </c>
    </row>
    <row r="89" spans="2:18" x14ac:dyDescent="0.25">
      <c r="B89" s="2">
        <f t="shared" si="31"/>
        <v>83</v>
      </c>
      <c r="C89" s="2">
        <f t="shared" ca="1" si="20"/>
        <v>98</v>
      </c>
      <c r="D89" s="2" t="str">
        <f t="shared" ca="1" si="21"/>
        <v>Withdrawal</v>
      </c>
      <c r="E89" s="2">
        <f t="shared" ca="1" si="22"/>
        <v>2</v>
      </c>
      <c r="F89" s="3">
        <f t="shared" ca="1" si="18"/>
        <v>106266.57944250807</v>
      </c>
      <c r="G89" s="2" t="str">
        <f t="shared" ca="1" si="19"/>
        <v>Savings</v>
      </c>
      <c r="H89" s="2">
        <f t="shared" ca="1" si="23"/>
        <v>2</v>
      </c>
      <c r="I89" s="10"/>
      <c r="J89" s="10"/>
      <c r="K89">
        <f t="shared" si="32"/>
        <v>83</v>
      </c>
      <c r="L89">
        <f t="shared" ca="1" si="24"/>
        <v>1</v>
      </c>
      <c r="M89" s="4">
        <f t="shared" ca="1" si="25"/>
        <v>9119</v>
      </c>
      <c r="N89" s="4">
        <f t="shared" ca="1" si="26"/>
        <v>104732</v>
      </c>
      <c r="O89" s="4">
        <f t="shared" ca="1" si="27"/>
        <v>17165</v>
      </c>
      <c r="P89">
        <f t="shared" ca="1" si="28"/>
        <v>48</v>
      </c>
      <c r="Q89" s="22">
        <f t="shared" ca="1" si="29"/>
        <v>357.60416666666669</v>
      </c>
      <c r="R89" s="22">
        <f t="shared" ca="1" si="30"/>
        <v>15376.979166666666</v>
      </c>
    </row>
    <row r="90" spans="2:18" x14ac:dyDescent="0.25">
      <c r="B90" s="2">
        <f t="shared" si="31"/>
        <v>84</v>
      </c>
      <c r="C90" s="2">
        <f t="shared" ca="1" si="20"/>
        <v>7</v>
      </c>
      <c r="D90" s="2" t="str">
        <f t="shared" ca="1" si="21"/>
        <v>Payment</v>
      </c>
      <c r="E90" s="2">
        <f t="shared" ca="1" si="22"/>
        <v>3</v>
      </c>
      <c r="F90" s="3">
        <f t="shared" ca="1" si="18"/>
        <v>615</v>
      </c>
      <c r="G90" s="2" t="str">
        <f t="shared" ca="1" si="19"/>
        <v>Loan</v>
      </c>
      <c r="H90" s="2">
        <f t="shared" ca="1" si="23"/>
        <v>3</v>
      </c>
      <c r="I90" s="10"/>
      <c r="J90" s="10"/>
      <c r="K90">
        <f t="shared" si="32"/>
        <v>84</v>
      </c>
      <c r="L90">
        <f t="shared" ca="1" si="24"/>
        <v>5</v>
      </c>
      <c r="M90" s="4">
        <f t="shared" ca="1" si="25"/>
        <v>2645</v>
      </c>
      <c r="N90" s="4">
        <f t="shared" ca="1" si="26"/>
        <v>192623</v>
      </c>
      <c r="O90" s="4">
        <f t="shared" ca="1" si="27"/>
        <v>50635</v>
      </c>
      <c r="P90">
        <f t="shared" ca="1" si="28"/>
        <v>48</v>
      </c>
      <c r="Q90" s="22">
        <f t="shared" ca="1" si="29"/>
        <v>1054.8958333333333</v>
      </c>
      <c r="R90" s="22">
        <f t="shared" ca="1" si="30"/>
        <v>37976.25</v>
      </c>
    </row>
    <row r="91" spans="2:18" x14ac:dyDescent="0.25">
      <c r="B91" s="2">
        <f t="shared" si="31"/>
        <v>85</v>
      </c>
      <c r="C91" s="2">
        <f t="shared" ca="1" si="20"/>
        <v>43</v>
      </c>
      <c r="D91" s="2" t="str">
        <f t="shared" ca="1" si="21"/>
        <v>Payment</v>
      </c>
      <c r="E91" s="2">
        <f t="shared" ca="1" si="22"/>
        <v>3</v>
      </c>
      <c r="F91" s="3">
        <f t="shared" ca="1" si="18"/>
        <v>589</v>
      </c>
      <c r="G91" s="2" t="str">
        <f t="shared" ca="1" si="19"/>
        <v>Loan</v>
      </c>
      <c r="H91" s="2">
        <f t="shared" ca="1" si="23"/>
        <v>3</v>
      </c>
      <c r="I91" s="10"/>
      <c r="J91" s="10"/>
      <c r="K91">
        <f t="shared" si="32"/>
        <v>85</v>
      </c>
      <c r="L91">
        <f t="shared" ca="1" si="24"/>
        <v>4</v>
      </c>
      <c r="M91" s="4">
        <f t="shared" ca="1" si="25"/>
        <v>5069</v>
      </c>
      <c r="N91" s="4">
        <f t="shared" ca="1" si="26"/>
        <v>121390</v>
      </c>
      <c r="O91" s="4">
        <f t="shared" ca="1" si="27"/>
        <v>22398</v>
      </c>
      <c r="P91">
        <f t="shared" ca="1" si="28"/>
        <v>48</v>
      </c>
      <c r="Q91" s="22">
        <f t="shared" ca="1" si="29"/>
        <v>466.625</v>
      </c>
      <c r="R91" s="22">
        <f t="shared" ca="1" si="30"/>
        <v>8865.875</v>
      </c>
    </row>
    <row r="92" spans="2:18" x14ac:dyDescent="0.25">
      <c r="B92" s="2">
        <f t="shared" si="31"/>
        <v>86</v>
      </c>
      <c r="C92" s="2">
        <f t="shared" ca="1" si="20"/>
        <v>24</v>
      </c>
      <c r="D92" s="2" t="str">
        <f t="shared" ca="1" si="21"/>
        <v>Payment</v>
      </c>
      <c r="E92" s="2">
        <f t="shared" ca="1" si="22"/>
        <v>3</v>
      </c>
      <c r="F92" s="3">
        <f t="shared" ca="1" si="18"/>
        <v>636</v>
      </c>
      <c r="G92" s="2" t="str">
        <f t="shared" ca="1" si="19"/>
        <v>Loan</v>
      </c>
      <c r="H92" s="2">
        <f t="shared" ca="1" si="23"/>
        <v>3</v>
      </c>
      <c r="I92" s="10"/>
      <c r="J92" s="10"/>
      <c r="K92">
        <f t="shared" si="32"/>
        <v>86</v>
      </c>
      <c r="L92">
        <f t="shared" ca="1" si="24"/>
        <v>5</v>
      </c>
      <c r="M92" s="4">
        <f t="shared" ca="1" si="25"/>
        <v>4516</v>
      </c>
      <c r="N92" s="4">
        <f t="shared" ca="1" si="26"/>
        <v>153104</v>
      </c>
      <c r="O92" s="4">
        <f t="shared" ca="1" si="27"/>
        <v>50912</v>
      </c>
      <c r="P92">
        <f t="shared" ca="1" si="28"/>
        <v>48</v>
      </c>
      <c r="Q92" s="22">
        <f t="shared" ca="1" si="29"/>
        <v>1060.6666666666667</v>
      </c>
      <c r="R92" s="22">
        <f t="shared" ca="1" si="30"/>
        <v>13788.666666666664</v>
      </c>
    </row>
    <row r="93" spans="2:18" x14ac:dyDescent="0.25">
      <c r="B93" s="2">
        <f t="shared" si="31"/>
        <v>87</v>
      </c>
      <c r="C93" s="2">
        <f t="shared" ca="1" si="20"/>
        <v>39</v>
      </c>
      <c r="D93" s="2" t="str">
        <f t="shared" ca="1" si="21"/>
        <v>Withdrawal</v>
      </c>
      <c r="E93" s="2">
        <f t="shared" ca="1" si="22"/>
        <v>2</v>
      </c>
      <c r="F93" s="3">
        <f t="shared" ca="1" si="18"/>
        <v>1829.7262459644865</v>
      </c>
      <c r="G93" s="2" t="str">
        <f t="shared" ca="1" si="19"/>
        <v>Checking</v>
      </c>
      <c r="H93" s="2">
        <f t="shared" ca="1" si="23"/>
        <v>1</v>
      </c>
      <c r="I93" s="10"/>
      <c r="J93" s="10"/>
      <c r="K93">
        <f t="shared" si="32"/>
        <v>87</v>
      </c>
      <c r="L93">
        <f t="shared" ca="1" si="24"/>
        <v>4</v>
      </c>
      <c r="M93" s="4">
        <f t="shared" ca="1" si="25"/>
        <v>1856</v>
      </c>
      <c r="N93" s="4">
        <f t="shared" ca="1" si="26"/>
        <v>138336</v>
      </c>
      <c r="O93" s="4">
        <f t="shared" ca="1" si="27"/>
        <v>32395</v>
      </c>
      <c r="P93">
        <f t="shared" ca="1" si="28"/>
        <v>60</v>
      </c>
      <c r="Q93" s="22">
        <f t="shared" ca="1" si="29"/>
        <v>539.91666666666663</v>
      </c>
      <c r="R93" s="22">
        <f t="shared" ca="1" si="30"/>
        <v>3779.4166666666679</v>
      </c>
    </row>
    <row r="94" spans="2:18" x14ac:dyDescent="0.25">
      <c r="B94" s="2">
        <f t="shared" si="31"/>
        <v>88</v>
      </c>
      <c r="C94" s="2">
        <f t="shared" ca="1" si="20"/>
        <v>19</v>
      </c>
      <c r="D94" s="2" t="str">
        <f t="shared" ca="1" si="21"/>
        <v>Withdrawal</v>
      </c>
      <c r="E94" s="2">
        <f t="shared" ca="1" si="22"/>
        <v>2</v>
      </c>
      <c r="F94" s="3">
        <f t="shared" ca="1" si="18"/>
        <v>730.65062126754663</v>
      </c>
      <c r="G94" s="2" t="str">
        <f t="shared" ca="1" si="19"/>
        <v>Checking</v>
      </c>
      <c r="H94" s="2">
        <f t="shared" ca="1" si="23"/>
        <v>1</v>
      </c>
      <c r="I94" s="10"/>
      <c r="J94" s="10"/>
      <c r="K94">
        <f t="shared" si="32"/>
        <v>88</v>
      </c>
      <c r="L94">
        <f t="shared" ca="1" si="24"/>
        <v>5</v>
      </c>
      <c r="M94" s="4">
        <f t="shared" ca="1" si="25"/>
        <v>4189</v>
      </c>
      <c r="N94" s="4">
        <f t="shared" ca="1" si="26"/>
        <v>164748</v>
      </c>
      <c r="O94" s="4">
        <f t="shared" ca="1" si="27"/>
        <v>15042</v>
      </c>
      <c r="P94">
        <f t="shared" ca="1" si="28"/>
        <v>60</v>
      </c>
      <c r="Q94" s="22">
        <f t="shared" ca="1" si="29"/>
        <v>250.7</v>
      </c>
      <c r="R94" s="22">
        <f t="shared" ca="1" si="30"/>
        <v>1253.5</v>
      </c>
    </row>
    <row r="95" spans="2:18" x14ac:dyDescent="0.25">
      <c r="B95" s="2">
        <f t="shared" si="31"/>
        <v>89</v>
      </c>
      <c r="C95" s="2">
        <f t="shared" ca="1" si="20"/>
        <v>7</v>
      </c>
      <c r="D95" s="2" t="str">
        <f t="shared" ca="1" si="21"/>
        <v>Payment</v>
      </c>
      <c r="E95" s="2">
        <f t="shared" ca="1" si="22"/>
        <v>3</v>
      </c>
      <c r="F95" s="3">
        <f t="shared" ca="1" si="18"/>
        <v>450</v>
      </c>
      <c r="G95" s="2" t="str">
        <f t="shared" ca="1" si="19"/>
        <v>Loan</v>
      </c>
      <c r="H95" s="2">
        <f t="shared" ca="1" si="23"/>
        <v>3</v>
      </c>
      <c r="I95" s="10"/>
      <c r="J95" s="10"/>
      <c r="K95">
        <f t="shared" si="32"/>
        <v>89</v>
      </c>
      <c r="L95">
        <f t="shared" ca="1" si="24"/>
        <v>2</v>
      </c>
      <c r="M95" s="4">
        <f t="shared" ca="1" si="25"/>
        <v>4901</v>
      </c>
      <c r="N95" s="4">
        <f t="shared" ca="1" si="26"/>
        <v>106557</v>
      </c>
      <c r="O95" s="4">
        <f t="shared" ca="1" si="27"/>
        <v>26159</v>
      </c>
      <c r="P95">
        <f t="shared" ca="1" si="28"/>
        <v>48</v>
      </c>
      <c r="Q95" s="22">
        <f t="shared" ca="1" si="29"/>
        <v>544.97916666666663</v>
      </c>
      <c r="R95" s="22">
        <f t="shared" ca="1" si="30"/>
        <v>7629.7083333333358</v>
      </c>
    </row>
    <row r="96" spans="2:18" x14ac:dyDescent="0.25">
      <c r="B96" s="2">
        <f t="shared" si="31"/>
        <v>90</v>
      </c>
      <c r="C96" s="2">
        <f t="shared" ca="1" si="20"/>
        <v>70</v>
      </c>
      <c r="D96" s="2" t="str">
        <f t="shared" ca="1" si="21"/>
        <v>Deposit</v>
      </c>
      <c r="E96" s="2">
        <f t="shared" ca="1" si="22"/>
        <v>1</v>
      </c>
      <c r="F96" s="3">
        <f t="shared" ca="1" si="18"/>
        <v>15281.910450044803</v>
      </c>
      <c r="G96" s="2" t="str">
        <f t="shared" ca="1" si="19"/>
        <v>Savings</v>
      </c>
      <c r="H96" s="2">
        <f t="shared" ca="1" si="23"/>
        <v>2</v>
      </c>
      <c r="I96" s="10"/>
      <c r="J96" s="10"/>
      <c r="K96">
        <f t="shared" si="32"/>
        <v>90</v>
      </c>
      <c r="L96">
        <f t="shared" ca="1" si="24"/>
        <v>1</v>
      </c>
      <c r="M96" s="4">
        <f t="shared" ca="1" si="25"/>
        <v>9393</v>
      </c>
      <c r="N96" s="4">
        <f t="shared" ca="1" si="26"/>
        <v>109953</v>
      </c>
      <c r="O96" s="4">
        <f t="shared" ca="1" si="27"/>
        <v>29548</v>
      </c>
      <c r="P96">
        <f t="shared" ca="1" si="28"/>
        <v>72</v>
      </c>
      <c r="Q96" s="22">
        <f t="shared" ca="1" si="29"/>
        <v>410.38888888888891</v>
      </c>
      <c r="R96" s="22">
        <f t="shared" ca="1" si="30"/>
        <v>16415.555555555555</v>
      </c>
    </row>
    <row r="97" spans="2:18" x14ac:dyDescent="0.25">
      <c r="B97" s="2">
        <f t="shared" si="31"/>
        <v>91</v>
      </c>
      <c r="C97" s="2">
        <f t="shared" ca="1" si="20"/>
        <v>10</v>
      </c>
      <c r="D97" s="2" t="str">
        <f t="shared" ca="1" si="21"/>
        <v>Deposit</v>
      </c>
      <c r="E97" s="2">
        <f t="shared" ca="1" si="22"/>
        <v>1</v>
      </c>
      <c r="F97" s="3">
        <f t="shared" ca="1" si="18"/>
        <v>1507.7629523474284</v>
      </c>
      <c r="G97" s="2" t="str">
        <f t="shared" ca="1" si="19"/>
        <v>Checking</v>
      </c>
      <c r="H97" s="2">
        <f t="shared" ca="1" si="23"/>
        <v>1</v>
      </c>
      <c r="I97" s="10"/>
      <c r="J97" s="10"/>
      <c r="K97">
        <f t="shared" si="32"/>
        <v>91</v>
      </c>
      <c r="L97">
        <f t="shared" ca="1" si="24"/>
        <v>2</v>
      </c>
      <c r="M97" s="4">
        <f t="shared" ca="1" si="25"/>
        <v>1895</v>
      </c>
      <c r="N97" s="4">
        <f t="shared" ca="1" si="26"/>
        <v>142639</v>
      </c>
      <c r="O97" s="4">
        <f t="shared" ca="1" si="27"/>
        <v>57169</v>
      </c>
      <c r="P97">
        <f t="shared" ca="1" si="28"/>
        <v>60</v>
      </c>
      <c r="Q97" s="22">
        <f t="shared" ca="1" si="29"/>
        <v>952.81666666666672</v>
      </c>
      <c r="R97" s="22">
        <f t="shared" ca="1" si="30"/>
        <v>9528.1666666666642</v>
      </c>
    </row>
    <row r="98" spans="2:18" x14ac:dyDescent="0.25">
      <c r="B98" s="2">
        <f t="shared" si="31"/>
        <v>92</v>
      </c>
      <c r="C98" s="2">
        <f t="shared" ca="1" si="20"/>
        <v>68</v>
      </c>
      <c r="D98" s="2" t="str">
        <f t="shared" ca="1" si="21"/>
        <v>Payment</v>
      </c>
      <c r="E98" s="2">
        <f t="shared" ca="1" si="22"/>
        <v>3</v>
      </c>
      <c r="F98" s="3">
        <f t="shared" ca="1" si="18"/>
        <v>319</v>
      </c>
      <c r="G98" s="2" t="str">
        <f t="shared" ca="1" si="19"/>
        <v>Loan</v>
      </c>
      <c r="H98" s="2">
        <f t="shared" ca="1" si="23"/>
        <v>3</v>
      </c>
      <c r="I98" s="10"/>
      <c r="J98" s="10"/>
      <c r="K98">
        <f t="shared" si="32"/>
        <v>92</v>
      </c>
      <c r="L98">
        <f t="shared" ca="1" si="24"/>
        <v>4</v>
      </c>
      <c r="M98" s="4">
        <f t="shared" ca="1" si="25"/>
        <v>5755</v>
      </c>
      <c r="N98" s="4">
        <f t="shared" ca="1" si="26"/>
        <v>114534</v>
      </c>
      <c r="O98" s="4">
        <f t="shared" ca="1" si="27"/>
        <v>19660</v>
      </c>
      <c r="P98">
        <f t="shared" ca="1" si="28"/>
        <v>60</v>
      </c>
      <c r="Q98" s="22">
        <f t="shared" ca="1" si="29"/>
        <v>327.66666666666669</v>
      </c>
      <c r="R98" s="22">
        <f t="shared" ca="1" si="30"/>
        <v>5570.3333333333321</v>
      </c>
    </row>
    <row r="99" spans="2:18" x14ac:dyDescent="0.25">
      <c r="B99" s="2">
        <f t="shared" si="31"/>
        <v>93</v>
      </c>
      <c r="C99" s="2">
        <f t="shared" ca="1" si="20"/>
        <v>51</v>
      </c>
      <c r="D99" s="2" t="str">
        <f t="shared" ca="1" si="21"/>
        <v>Deposit</v>
      </c>
      <c r="E99" s="2">
        <f t="shared" ca="1" si="22"/>
        <v>1</v>
      </c>
      <c r="F99" s="3">
        <f t="shared" ca="1" si="18"/>
        <v>40900.2606790766</v>
      </c>
      <c r="G99" s="2" t="str">
        <f t="shared" ca="1" si="19"/>
        <v>Savings</v>
      </c>
      <c r="H99" s="2">
        <f t="shared" ca="1" si="23"/>
        <v>2</v>
      </c>
      <c r="I99" s="10"/>
      <c r="J99" s="10"/>
      <c r="K99">
        <f t="shared" si="32"/>
        <v>93</v>
      </c>
      <c r="L99">
        <f t="shared" ca="1" si="24"/>
        <v>2</v>
      </c>
      <c r="M99" s="4">
        <f t="shared" ca="1" si="25"/>
        <v>6436</v>
      </c>
      <c r="N99" s="4">
        <f t="shared" ca="1" si="26"/>
        <v>151527</v>
      </c>
      <c r="O99" s="4">
        <f t="shared" ca="1" si="27"/>
        <v>38962</v>
      </c>
      <c r="P99">
        <f t="shared" ca="1" si="28"/>
        <v>72</v>
      </c>
      <c r="Q99" s="22">
        <f t="shared" ca="1" si="29"/>
        <v>541.13888888888891</v>
      </c>
      <c r="R99" s="22">
        <f t="shared" ca="1" si="30"/>
        <v>35715.166666666664</v>
      </c>
    </row>
    <row r="100" spans="2:18" x14ac:dyDescent="0.25">
      <c r="B100" s="2">
        <f t="shared" si="31"/>
        <v>94</v>
      </c>
      <c r="C100" s="2">
        <f t="shared" ca="1" si="20"/>
        <v>38</v>
      </c>
      <c r="D100" s="2" t="str">
        <f t="shared" ca="1" si="21"/>
        <v>Deposit</v>
      </c>
      <c r="E100" s="2">
        <f t="shared" ca="1" si="22"/>
        <v>1</v>
      </c>
      <c r="F100" s="3">
        <f t="shared" ca="1" si="18"/>
        <v>73854.333929572676</v>
      </c>
      <c r="G100" s="2" t="str">
        <f t="shared" ca="1" si="19"/>
        <v>Savings</v>
      </c>
      <c r="H100" s="2">
        <f t="shared" ca="1" si="23"/>
        <v>2</v>
      </c>
      <c r="I100" s="10"/>
      <c r="J100" s="10"/>
      <c r="K100">
        <f t="shared" si="32"/>
        <v>94</v>
      </c>
      <c r="L100">
        <f t="shared" ca="1" si="24"/>
        <v>3</v>
      </c>
      <c r="M100" s="4">
        <f t="shared" ca="1" si="25"/>
        <v>372</v>
      </c>
      <c r="N100" s="4">
        <f t="shared" ca="1" si="26"/>
        <v>72736</v>
      </c>
      <c r="O100" s="4">
        <f t="shared" ca="1" si="27"/>
        <v>49980</v>
      </c>
      <c r="P100">
        <f t="shared" ca="1" si="28"/>
        <v>48</v>
      </c>
      <c r="Q100" s="22">
        <f t="shared" ca="1" si="29"/>
        <v>1041.25</v>
      </c>
      <c r="R100" s="22">
        <f t="shared" ca="1" si="30"/>
        <v>8330</v>
      </c>
    </row>
    <row r="101" spans="2:18" x14ac:dyDescent="0.25">
      <c r="B101" s="2">
        <f t="shared" si="31"/>
        <v>95</v>
      </c>
      <c r="C101" s="2">
        <f t="shared" ca="1" si="20"/>
        <v>6</v>
      </c>
      <c r="D101" s="2" t="str">
        <f t="shared" ca="1" si="21"/>
        <v>Withdrawal</v>
      </c>
      <c r="E101" s="2">
        <f t="shared" ca="1" si="22"/>
        <v>2</v>
      </c>
      <c r="F101" s="3">
        <f t="shared" ca="1" si="18"/>
        <v>7508.707065473327</v>
      </c>
      <c r="G101" s="2" t="str">
        <f t="shared" ca="1" si="19"/>
        <v>Checking</v>
      </c>
      <c r="H101" s="2">
        <f t="shared" ca="1" si="23"/>
        <v>1</v>
      </c>
      <c r="I101" s="10"/>
      <c r="J101" s="10"/>
      <c r="K101">
        <f t="shared" si="32"/>
        <v>95</v>
      </c>
      <c r="L101">
        <f t="shared" ca="1" si="24"/>
        <v>4</v>
      </c>
      <c r="M101" s="4">
        <f t="shared" ca="1" si="25"/>
        <v>1084</v>
      </c>
      <c r="N101" s="4">
        <f t="shared" ca="1" si="26"/>
        <v>142688</v>
      </c>
      <c r="O101" s="4">
        <f t="shared" ca="1" si="27"/>
        <v>23965</v>
      </c>
      <c r="P101">
        <f t="shared" ca="1" si="28"/>
        <v>72</v>
      </c>
      <c r="Q101" s="22">
        <f t="shared" ca="1" si="29"/>
        <v>332.84722222222223</v>
      </c>
      <c r="R101" s="22">
        <f t="shared" ca="1" si="30"/>
        <v>4327.0138888888869</v>
      </c>
    </row>
    <row r="102" spans="2:18" x14ac:dyDescent="0.25">
      <c r="B102" s="2">
        <f t="shared" si="31"/>
        <v>96</v>
      </c>
      <c r="C102" s="2">
        <f t="shared" ca="1" si="20"/>
        <v>66</v>
      </c>
      <c r="D102" s="2" t="str">
        <f t="shared" ca="1" si="21"/>
        <v>Withdrawal</v>
      </c>
      <c r="E102" s="2">
        <f t="shared" ca="1" si="22"/>
        <v>2</v>
      </c>
      <c r="F102" s="3">
        <f t="shared" ca="1" si="18"/>
        <v>3188.3533331298418</v>
      </c>
      <c r="G102" s="2" t="str">
        <f t="shared" ca="1" si="19"/>
        <v>Checking</v>
      </c>
      <c r="H102" s="2">
        <f t="shared" ca="1" si="23"/>
        <v>1</v>
      </c>
      <c r="I102" s="10"/>
      <c r="J102" s="10"/>
      <c r="K102">
        <f t="shared" si="32"/>
        <v>96</v>
      </c>
      <c r="L102">
        <f t="shared" ca="1" si="24"/>
        <v>4</v>
      </c>
      <c r="M102" s="4">
        <f t="shared" ca="1" si="25"/>
        <v>4656</v>
      </c>
      <c r="N102" s="4">
        <f t="shared" ca="1" si="26"/>
        <v>139788</v>
      </c>
      <c r="O102" s="4">
        <f t="shared" ca="1" si="27"/>
        <v>47202</v>
      </c>
      <c r="P102">
        <f t="shared" ca="1" si="28"/>
        <v>60</v>
      </c>
      <c r="Q102" s="22">
        <f t="shared" ca="1" si="29"/>
        <v>786.7</v>
      </c>
      <c r="R102" s="22">
        <f t="shared" ca="1" si="30"/>
        <v>44841.9</v>
      </c>
    </row>
    <row r="103" spans="2:18" x14ac:dyDescent="0.25">
      <c r="B103" s="2">
        <f t="shared" si="31"/>
        <v>97</v>
      </c>
      <c r="C103" s="2">
        <f t="shared" ca="1" si="20"/>
        <v>78</v>
      </c>
      <c r="D103" s="2" t="str">
        <f t="shared" ca="1" si="21"/>
        <v>Withdrawal</v>
      </c>
      <c r="E103" s="2">
        <f t="shared" ca="1" si="22"/>
        <v>2</v>
      </c>
      <c r="F103" s="3">
        <f t="shared" ref="F103:F128" ca="1" si="33">IF(G103="Checking",RAND()*VLOOKUP($C103,$K$6:$O$106,3),IF(G103="Savings",RAND()*VLOOKUP($C103,$K$6:$O$106,4),IF(G103="Loan",RANDBETWEEN(100,700))))</f>
        <v>43768.269080701262</v>
      </c>
      <c r="G103" s="2" t="str">
        <f t="shared" ref="G103:G128" ca="1" si="34">IF(E103=3,"Loan",IF(H103=1, "Checking",IF(H103=2, "Savings")))</f>
        <v>Savings</v>
      </c>
      <c r="H103" s="2">
        <f t="shared" ca="1" si="23"/>
        <v>2</v>
      </c>
      <c r="I103" s="10"/>
      <c r="J103" s="10"/>
      <c r="K103">
        <f t="shared" si="32"/>
        <v>97</v>
      </c>
      <c r="L103">
        <f t="shared" ca="1" si="24"/>
        <v>1</v>
      </c>
      <c r="M103" s="4">
        <f t="shared" ca="1" si="25"/>
        <v>4400</v>
      </c>
      <c r="N103" s="4">
        <f t="shared" ca="1" si="26"/>
        <v>139677</v>
      </c>
      <c r="O103" s="4">
        <f t="shared" ca="1" si="27"/>
        <v>51968</v>
      </c>
      <c r="P103">
        <f t="shared" ca="1" si="28"/>
        <v>48</v>
      </c>
      <c r="Q103" s="22">
        <f t="shared" ca="1" si="29"/>
        <v>1082.6666666666667</v>
      </c>
      <c r="R103" s="22">
        <f t="shared" ca="1" si="30"/>
        <v>12992</v>
      </c>
    </row>
    <row r="104" spans="2:18" x14ac:dyDescent="0.25">
      <c r="B104" s="2">
        <f t="shared" si="31"/>
        <v>98</v>
      </c>
      <c r="C104" s="2">
        <f t="shared" ca="1" si="20"/>
        <v>99</v>
      </c>
      <c r="D104" s="2" t="str">
        <f t="shared" ca="1" si="21"/>
        <v>Withdrawal</v>
      </c>
      <c r="E104" s="2">
        <f t="shared" ca="1" si="22"/>
        <v>2</v>
      </c>
      <c r="F104" s="3">
        <f t="shared" ca="1" si="33"/>
        <v>124075.67732121995</v>
      </c>
      <c r="G104" s="2" t="str">
        <f t="shared" ca="1" si="34"/>
        <v>Savings</v>
      </c>
      <c r="H104" s="2">
        <f t="shared" ca="1" si="23"/>
        <v>2</v>
      </c>
      <c r="I104" s="10"/>
      <c r="J104" s="10"/>
      <c r="K104">
        <f t="shared" si="32"/>
        <v>98</v>
      </c>
      <c r="L104">
        <f t="shared" ca="1" si="24"/>
        <v>4</v>
      </c>
      <c r="M104" s="4">
        <f t="shared" ca="1" si="25"/>
        <v>5236</v>
      </c>
      <c r="N104" s="4">
        <f t="shared" ca="1" si="26"/>
        <v>110578</v>
      </c>
      <c r="O104" s="4">
        <f t="shared" ca="1" si="27"/>
        <v>20787</v>
      </c>
      <c r="P104">
        <f t="shared" ca="1" si="28"/>
        <v>72</v>
      </c>
      <c r="Q104" s="22">
        <f t="shared" ca="1" si="29"/>
        <v>288.70833333333331</v>
      </c>
      <c r="R104" s="22">
        <f t="shared" ca="1" si="30"/>
        <v>19343.458333333332</v>
      </c>
    </row>
    <row r="105" spans="2:18" x14ac:dyDescent="0.25">
      <c r="B105" s="2">
        <f t="shared" si="31"/>
        <v>99</v>
      </c>
      <c r="C105" s="2">
        <f t="shared" ca="1" si="20"/>
        <v>89</v>
      </c>
      <c r="D105" s="2" t="str">
        <f t="shared" ca="1" si="21"/>
        <v>Payment</v>
      </c>
      <c r="E105" s="2">
        <f t="shared" ca="1" si="22"/>
        <v>3</v>
      </c>
      <c r="F105" s="3">
        <f t="shared" ca="1" si="33"/>
        <v>561</v>
      </c>
      <c r="G105" s="2" t="str">
        <f t="shared" ca="1" si="34"/>
        <v>Loan</v>
      </c>
      <c r="H105" s="2">
        <f t="shared" ca="1" si="23"/>
        <v>3</v>
      </c>
      <c r="I105" s="10"/>
      <c r="J105" s="10"/>
      <c r="K105">
        <f t="shared" si="32"/>
        <v>99</v>
      </c>
      <c r="L105">
        <f t="shared" ca="1" si="24"/>
        <v>5</v>
      </c>
      <c r="M105" s="4">
        <f t="shared" ca="1" si="25"/>
        <v>4209</v>
      </c>
      <c r="N105" s="4">
        <f t="shared" ca="1" si="26"/>
        <v>198353</v>
      </c>
      <c r="O105" s="4">
        <f t="shared" ca="1" si="27"/>
        <v>24682</v>
      </c>
      <c r="P105">
        <f t="shared" ca="1" si="28"/>
        <v>72</v>
      </c>
      <c r="Q105" s="22">
        <f t="shared" ca="1" si="29"/>
        <v>342.80555555555554</v>
      </c>
      <c r="R105" s="22">
        <f t="shared" ca="1" si="30"/>
        <v>9941.3611111111113</v>
      </c>
    </row>
    <row r="106" spans="2:18" x14ac:dyDescent="0.25">
      <c r="B106" s="2">
        <f t="shared" si="31"/>
        <v>100</v>
      </c>
      <c r="C106" s="2">
        <f t="shared" ca="1" si="20"/>
        <v>63</v>
      </c>
      <c r="D106" s="2" t="str">
        <f t="shared" ca="1" si="21"/>
        <v>Withdrawal</v>
      </c>
      <c r="E106" s="2">
        <f t="shared" ca="1" si="22"/>
        <v>2</v>
      </c>
      <c r="F106" s="3">
        <f t="shared" ca="1" si="33"/>
        <v>24997.600190335925</v>
      </c>
      <c r="G106" s="2" t="str">
        <f t="shared" ca="1" si="34"/>
        <v>Savings</v>
      </c>
      <c r="H106" s="2">
        <f t="shared" ca="1" si="23"/>
        <v>2</v>
      </c>
      <c r="I106" s="10"/>
      <c r="J106" s="10"/>
      <c r="K106">
        <f t="shared" si="32"/>
        <v>100</v>
      </c>
      <c r="L106">
        <f t="shared" ca="1" si="24"/>
        <v>1</v>
      </c>
      <c r="M106" s="4">
        <f t="shared" ca="1" si="25"/>
        <v>2853</v>
      </c>
      <c r="N106" s="4">
        <f t="shared" ca="1" si="26"/>
        <v>76554</v>
      </c>
      <c r="O106" s="4">
        <f t="shared" ca="1" si="27"/>
        <v>51769</v>
      </c>
      <c r="P106">
        <f t="shared" ca="1" si="28"/>
        <v>60</v>
      </c>
      <c r="Q106" s="22">
        <f t="shared" ca="1" si="29"/>
        <v>862.81666666666672</v>
      </c>
      <c r="R106" s="22">
        <f t="shared" ca="1" si="30"/>
        <v>47454.916666666664</v>
      </c>
    </row>
    <row r="107" spans="2:18" x14ac:dyDescent="0.25">
      <c r="B107" s="2">
        <f t="shared" si="31"/>
        <v>101</v>
      </c>
      <c r="C107" s="2">
        <f t="shared" ca="1" si="20"/>
        <v>47</v>
      </c>
      <c r="D107" s="2" t="str">
        <f t="shared" ca="1" si="21"/>
        <v>Payment</v>
      </c>
      <c r="E107" s="2">
        <f t="shared" ca="1" si="22"/>
        <v>3</v>
      </c>
      <c r="F107" s="3">
        <f t="shared" ca="1" si="33"/>
        <v>555</v>
      </c>
      <c r="G107" s="2" t="str">
        <f t="shared" ca="1" si="34"/>
        <v>Loan</v>
      </c>
      <c r="H107" s="2">
        <f t="shared" ca="1" si="23"/>
        <v>3</v>
      </c>
      <c r="I107" s="10"/>
      <c r="J107" s="10"/>
    </row>
    <row r="108" spans="2:18" x14ac:dyDescent="0.25">
      <c r="B108" s="2">
        <f t="shared" si="31"/>
        <v>102</v>
      </c>
      <c r="C108" s="2">
        <f t="shared" ca="1" si="20"/>
        <v>1</v>
      </c>
      <c r="D108" s="2" t="str">
        <f t="shared" ca="1" si="21"/>
        <v>Deposit</v>
      </c>
      <c r="E108" s="2">
        <f t="shared" ca="1" si="22"/>
        <v>1</v>
      </c>
      <c r="F108" s="3">
        <f t="shared" ca="1" si="33"/>
        <v>68702.22453674204</v>
      </c>
      <c r="G108" s="2" t="str">
        <f t="shared" ca="1" si="34"/>
        <v>Savings</v>
      </c>
      <c r="H108" s="2">
        <f t="shared" ca="1" si="23"/>
        <v>2</v>
      </c>
      <c r="I108" s="10"/>
      <c r="J108" s="10"/>
    </row>
    <row r="109" spans="2:18" x14ac:dyDescent="0.25">
      <c r="B109" s="2">
        <f t="shared" si="31"/>
        <v>103</v>
      </c>
      <c r="C109" s="2">
        <f t="shared" ca="1" si="20"/>
        <v>35</v>
      </c>
      <c r="D109" s="2" t="str">
        <f t="shared" ca="1" si="21"/>
        <v>Payment</v>
      </c>
      <c r="E109" s="2">
        <f t="shared" ca="1" si="22"/>
        <v>3</v>
      </c>
      <c r="F109" s="3">
        <f t="shared" ca="1" si="33"/>
        <v>144</v>
      </c>
      <c r="G109" s="2" t="str">
        <f t="shared" ca="1" si="34"/>
        <v>Loan</v>
      </c>
      <c r="H109" s="2">
        <f t="shared" ca="1" si="23"/>
        <v>3</v>
      </c>
      <c r="I109" s="10"/>
      <c r="J109" s="10"/>
    </row>
    <row r="110" spans="2:18" x14ac:dyDescent="0.25">
      <c r="B110" s="2">
        <f t="shared" si="31"/>
        <v>104</v>
      </c>
      <c r="C110" s="2">
        <f t="shared" ca="1" si="20"/>
        <v>27</v>
      </c>
      <c r="D110" s="2" t="str">
        <f t="shared" ca="1" si="21"/>
        <v>Withdrawal</v>
      </c>
      <c r="E110" s="2">
        <f t="shared" ca="1" si="22"/>
        <v>2</v>
      </c>
      <c r="F110" s="3">
        <f t="shared" ca="1" si="33"/>
        <v>16570.354131404049</v>
      </c>
      <c r="G110" s="2" t="str">
        <f t="shared" ca="1" si="34"/>
        <v>Savings</v>
      </c>
      <c r="H110" s="2">
        <f t="shared" ca="1" si="23"/>
        <v>2</v>
      </c>
      <c r="I110" s="10"/>
      <c r="J110" s="10"/>
    </row>
    <row r="111" spans="2:18" x14ac:dyDescent="0.25">
      <c r="B111" s="2">
        <f t="shared" si="31"/>
        <v>105</v>
      </c>
      <c r="C111" s="2">
        <f t="shared" ca="1" si="20"/>
        <v>11</v>
      </c>
      <c r="D111" s="2" t="str">
        <f t="shared" ca="1" si="21"/>
        <v>Deposit</v>
      </c>
      <c r="E111" s="2">
        <f t="shared" ca="1" si="22"/>
        <v>1</v>
      </c>
      <c r="F111" s="3">
        <f t="shared" ca="1" si="33"/>
        <v>92805.204437321663</v>
      </c>
      <c r="G111" s="2" t="str">
        <f t="shared" ca="1" si="34"/>
        <v>Savings</v>
      </c>
      <c r="H111" s="2">
        <f t="shared" ca="1" si="23"/>
        <v>2</v>
      </c>
      <c r="I111" s="10"/>
      <c r="J111" s="10"/>
    </row>
    <row r="112" spans="2:18" x14ac:dyDescent="0.25">
      <c r="B112" s="2">
        <f t="shared" si="31"/>
        <v>106</v>
      </c>
      <c r="C112" s="2">
        <f t="shared" ca="1" si="20"/>
        <v>11</v>
      </c>
      <c r="D112" s="2" t="str">
        <f t="shared" ca="1" si="21"/>
        <v>Deposit</v>
      </c>
      <c r="E112" s="2">
        <f t="shared" ca="1" si="22"/>
        <v>1</v>
      </c>
      <c r="F112" s="3">
        <f t="shared" ca="1" si="33"/>
        <v>6303.5343940819384</v>
      </c>
      <c r="G112" s="2" t="str">
        <f t="shared" ca="1" si="34"/>
        <v>Checking</v>
      </c>
      <c r="H112" s="2">
        <f t="shared" ca="1" si="23"/>
        <v>1</v>
      </c>
      <c r="I112" s="10"/>
      <c r="J112" s="10"/>
    </row>
    <row r="113" spans="2:10" x14ac:dyDescent="0.25">
      <c r="B113" s="2">
        <f t="shared" si="31"/>
        <v>107</v>
      </c>
      <c r="C113" s="2">
        <f t="shared" ca="1" si="20"/>
        <v>53</v>
      </c>
      <c r="D113" s="2" t="str">
        <f t="shared" ca="1" si="21"/>
        <v>Withdrawal</v>
      </c>
      <c r="E113" s="2">
        <f t="shared" ca="1" si="22"/>
        <v>2</v>
      </c>
      <c r="F113" s="3">
        <f t="shared" ca="1" si="33"/>
        <v>1297.644099114143</v>
      </c>
      <c r="G113" s="2" t="str">
        <f t="shared" ca="1" si="34"/>
        <v>Checking</v>
      </c>
      <c r="H113" s="2">
        <f t="shared" ca="1" si="23"/>
        <v>1</v>
      </c>
      <c r="I113" s="10"/>
      <c r="J113" s="10"/>
    </row>
    <row r="114" spans="2:10" x14ac:dyDescent="0.25">
      <c r="B114" s="2">
        <f t="shared" si="31"/>
        <v>108</v>
      </c>
      <c r="C114" s="2">
        <f t="shared" ca="1" si="20"/>
        <v>37</v>
      </c>
      <c r="D114" s="2" t="str">
        <f t="shared" ca="1" si="21"/>
        <v>Deposit</v>
      </c>
      <c r="E114" s="2">
        <f t="shared" ca="1" si="22"/>
        <v>1</v>
      </c>
      <c r="F114" s="3">
        <f t="shared" ca="1" si="33"/>
        <v>3923.711743734289</v>
      </c>
      <c r="G114" s="2" t="str">
        <f t="shared" ca="1" si="34"/>
        <v>Checking</v>
      </c>
      <c r="H114" s="2">
        <f t="shared" ca="1" si="23"/>
        <v>1</v>
      </c>
      <c r="I114" s="10"/>
      <c r="J114" s="10"/>
    </row>
    <row r="115" spans="2:10" x14ac:dyDescent="0.25">
      <c r="B115" s="2">
        <f t="shared" si="31"/>
        <v>109</v>
      </c>
      <c r="C115" s="2">
        <f t="shared" ca="1" si="20"/>
        <v>56</v>
      </c>
      <c r="D115" s="2" t="str">
        <f t="shared" ca="1" si="21"/>
        <v>Withdrawal</v>
      </c>
      <c r="E115" s="2">
        <f t="shared" ca="1" si="22"/>
        <v>2</v>
      </c>
      <c r="F115" s="3">
        <f t="shared" ca="1" si="33"/>
        <v>107394.93017188327</v>
      </c>
      <c r="G115" s="2" t="str">
        <f t="shared" ca="1" si="34"/>
        <v>Savings</v>
      </c>
      <c r="H115" s="2">
        <f t="shared" ca="1" si="23"/>
        <v>2</v>
      </c>
      <c r="I115" s="10"/>
      <c r="J115" s="10"/>
    </row>
    <row r="116" spans="2:10" x14ac:dyDescent="0.25">
      <c r="B116" s="2">
        <f t="shared" si="31"/>
        <v>110</v>
      </c>
      <c r="C116" s="2">
        <f t="shared" ca="1" si="20"/>
        <v>65</v>
      </c>
      <c r="D116" s="2" t="str">
        <f t="shared" ca="1" si="21"/>
        <v>Deposit</v>
      </c>
      <c r="E116" s="2">
        <f t="shared" ca="1" si="22"/>
        <v>1</v>
      </c>
      <c r="F116" s="3">
        <f t="shared" ca="1" si="33"/>
        <v>134300.34953150302</v>
      </c>
      <c r="G116" s="2" t="str">
        <f t="shared" ca="1" si="34"/>
        <v>Savings</v>
      </c>
      <c r="H116" s="2">
        <f t="shared" ca="1" si="23"/>
        <v>2</v>
      </c>
      <c r="I116" s="10"/>
      <c r="J116" s="10"/>
    </row>
    <row r="117" spans="2:10" x14ac:dyDescent="0.25">
      <c r="B117" s="2">
        <f t="shared" si="31"/>
        <v>111</v>
      </c>
      <c r="C117" s="2">
        <f t="shared" ca="1" si="20"/>
        <v>56</v>
      </c>
      <c r="D117" s="2" t="str">
        <f t="shared" ca="1" si="21"/>
        <v>Deposit</v>
      </c>
      <c r="E117" s="2">
        <f t="shared" ca="1" si="22"/>
        <v>1</v>
      </c>
      <c r="F117" s="3">
        <f t="shared" ca="1" si="33"/>
        <v>2854.8407503481385</v>
      </c>
      <c r="G117" s="2" t="str">
        <f t="shared" ca="1" si="34"/>
        <v>Checking</v>
      </c>
      <c r="H117" s="2">
        <f t="shared" ca="1" si="23"/>
        <v>1</v>
      </c>
      <c r="I117" s="10"/>
      <c r="J117" s="10"/>
    </row>
    <row r="118" spans="2:10" x14ac:dyDescent="0.25">
      <c r="B118" s="2">
        <f t="shared" si="31"/>
        <v>112</v>
      </c>
      <c r="C118" s="2">
        <f t="shared" ca="1" si="20"/>
        <v>69</v>
      </c>
      <c r="D118" s="2" t="str">
        <f t="shared" ca="1" si="21"/>
        <v>Withdrawal</v>
      </c>
      <c r="E118" s="2">
        <f t="shared" ca="1" si="22"/>
        <v>2</v>
      </c>
      <c r="F118" s="3">
        <f t="shared" ca="1" si="33"/>
        <v>2476.1285643040765</v>
      </c>
      <c r="G118" s="2" t="str">
        <f t="shared" ca="1" si="34"/>
        <v>Checking</v>
      </c>
      <c r="H118" s="2">
        <f t="shared" ca="1" si="23"/>
        <v>1</v>
      </c>
      <c r="I118" s="10"/>
      <c r="J118" s="10"/>
    </row>
    <row r="119" spans="2:10" x14ac:dyDescent="0.25">
      <c r="B119" s="2">
        <f t="shared" si="31"/>
        <v>113</v>
      </c>
      <c r="C119" s="2">
        <f t="shared" ca="1" si="20"/>
        <v>79</v>
      </c>
      <c r="D119" s="2" t="str">
        <f t="shared" ca="1" si="21"/>
        <v>Deposit</v>
      </c>
      <c r="E119" s="2">
        <f t="shared" ca="1" si="22"/>
        <v>1</v>
      </c>
      <c r="F119" s="3">
        <f t="shared" ca="1" si="33"/>
        <v>3964.2688200502407</v>
      </c>
      <c r="G119" s="2" t="str">
        <f t="shared" ca="1" si="34"/>
        <v>Checking</v>
      </c>
      <c r="H119" s="2">
        <f t="shared" ca="1" si="23"/>
        <v>1</v>
      </c>
      <c r="I119" s="10"/>
      <c r="J119" s="10"/>
    </row>
    <row r="120" spans="2:10" x14ac:dyDescent="0.25">
      <c r="B120" s="2">
        <f t="shared" si="31"/>
        <v>114</v>
      </c>
      <c r="C120" s="2">
        <f t="shared" ca="1" si="20"/>
        <v>98</v>
      </c>
      <c r="D120" s="2" t="str">
        <f t="shared" ca="1" si="21"/>
        <v>Payment</v>
      </c>
      <c r="E120" s="2">
        <f t="shared" ca="1" si="22"/>
        <v>3</v>
      </c>
      <c r="F120" s="3">
        <f t="shared" ca="1" si="33"/>
        <v>328</v>
      </c>
      <c r="G120" s="2" t="str">
        <f t="shared" ca="1" si="34"/>
        <v>Loan</v>
      </c>
      <c r="H120" s="2">
        <f t="shared" ca="1" si="23"/>
        <v>3</v>
      </c>
      <c r="I120" s="10"/>
      <c r="J120" s="10"/>
    </row>
    <row r="121" spans="2:10" x14ac:dyDescent="0.25">
      <c r="B121" s="2">
        <f t="shared" si="31"/>
        <v>115</v>
      </c>
      <c r="C121" s="2">
        <f t="shared" ca="1" si="20"/>
        <v>53</v>
      </c>
      <c r="D121" s="2" t="str">
        <f t="shared" ca="1" si="21"/>
        <v>Payment</v>
      </c>
      <c r="E121" s="2">
        <f t="shared" ca="1" si="22"/>
        <v>3</v>
      </c>
      <c r="F121" s="3">
        <f t="shared" ca="1" si="33"/>
        <v>486</v>
      </c>
      <c r="G121" s="2" t="str">
        <f t="shared" ca="1" si="34"/>
        <v>Loan</v>
      </c>
      <c r="H121" s="2">
        <f t="shared" ca="1" si="23"/>
        <v>3</v>
      </c>
      <c r="I121" s="10"/>
      <c r="J121" s="10"/>
    </row>
    <row r="122" spans="2:10" x14ac:dyDescent="0.25">
      <c r="B122" s="2">
        <f t="shared" si="31"/>
        <v>116</v>
      </c>
      <c r="C122" s="2">
        <f t="shared" ca="1" si="20"/>
        <v>34</v>
      </c>
      <c r="D122" s="2" t="str">
        <f t="shared" ca="1" si="21"/>
        <v>Deposit</v>
      </c>
      <c r="E122" s="2">
        <f t="shared" ca="1" si="22"/>
        <v>1</v>
      </c>
      <c r="F122" s="3">
        <f t="shared" ca="1" si="33"/>
        <v>5876.3402130218474</v>
      </c>
      <c r="G122" s="2" t="str">
        <f t="shared" ca="1" si="34"/>
        <v>Checking</v>
      </c>
      <c r="H122" s="2">
        <f t="shared" ca="1" si="23"/>
        <v>1</v>
      </c>
      <c r="I122" s="10"/>
      <c r="J122" s="10"/>
    </row>
    <row r="123" spans="2:10" x14ac:dyDescent="0.25">
      <c r="B123" s="2">
        <f t="shared" si="31"/>
        <v>117</v>
      </c>
      <c r="C123" s="2">
        <f t="shared" ca="1" si="20"/>
        <v>76</v>
      </c>
      <c r="D123" s="2" t="str">
        <f t="shared" ca="1" si="21"/>
        <v>Deposit</v>
      </c>
      <c r="E123" s="2">
        <f t="shared" ca="1" si="22"/>
        <v>1</v>
      </c>
      <c r="F123" s="3">
        <f t="shared" ca="1" si="33"/>
        <v>1241.5486476994156</v>
      </c>
      <c r="G123" s="2" t="str">
        <f t="shared" ca="1" si="34"/>
        <v>Checking</v>
      </c>
      <c r="H123" s="2">
        <f t="shared" ca="1" si="23"/>
        <v>1</v>
      </c>
      <c r="I123" s="10"/>
      <c r="J123" s="10"/>
    </row>
    <row r="124" spans="2:10" x14ac:dyDescent="0.25">
      <c r="B124" s="2">
        <f t="shared" si="31"/>
        <v>118</v>
      </c>
      <c r="C124" s="2">
        <f t="shared" ca="1" si="20"/>
        <v>56</v>
      </c>
      <c r="D124" s="2" t="str">
        <f t="shared" ca="1" si="21"/>
        <v>Deposit</v>
      </c>
      <c r="E124" s="2">
        <f t="shared" ca="1" si="22"/>
        <v>1</v>
      </c>
      <c r="F124" s="3">
        <f t="shared" ca="1" si="33"/>
        <v>1432.0185696543613</v>
      </c>
      <c r="G124" s="2" t="str">
        <f t="shared" ca="1" si="34"/>
        <v>Checking</v>
      </c>
      <c r="H124" s="2">
        <f t="shared" ca="1" si="23"/>
        <v>1</v>
      </c>
      <c r="I124" s="10"/>
      <c r="J124" s="10"/>
    </row>
    <row r="125" spans="2:10" x14ac:dyDescent="0.25">
      <c r="B125" s="2">
        <f t="shared" si="31"/>
        <v>119</v>
      </c>
      <c r="C125" s="2">
        <f t="shared" ca="1" si="20"/>
        <v>7</v>
      </c>
      <c r="D125" s="2" t="str">
        <f t="shared" ca="1" si="21"/>
        <v>Deposit</v>
      </c>
      <c r="E125" s="2">
        <f t="shared" ca="1" si="22"/>
        <v>1</v>
      </c>
      <c r="F125" s="3">
        <f t="shared" ca="1" si="33"/>
        <v>3390.4824927689788</v>
      </c>
      <c r="G125" s="2" t="str">
        <f t="shared" ca="1" si="34"/>
        <v>Checking</v>
      </c>
      <c r="H125" s="2">
        <f t="shared" ca="1" si="23"/>
        <v>1</v>
      </c>
      <c r="I125" s="10"/>
      <c r="J125" s="10"/>
    </row>
    <row r="126" spans="2:10" x14ac:dyDescent="0.25">
      <c r="B126" s="2">
        <f t="shared" si="31"/>
        <v>120</v>
      </c>
      <c r="C126" s="2">
        <f t="shared" ca="1" si="20"/>
        <v>64</v>
      </c>
      <c r="D126" s="2" t="str">
        <f t="shared" ca="1" si="21"/>
        <v>Payment</v>
      </c>
      <c r="E126" s="2">
        <f t="shared" ca="1" si="22"/>
        <v>3</v>
      </c>
      <c r="F126" s="3">
        <f t="shared" ca="1" si="33"/>
        <v>460</v>
      </c>
      <c r="G126" s="2" t="str">
        <f t="shared" ca="1" si="34"/>
        <v>Loan</v>
      </c>
      <c r="H126" s="2">
        <f t="shared" ca="1" si="23"/>
        <v>3</v>
      </c>
      <c r="I126" s="10"/>
      <c r="J126" s="10"/>
    </row>
    <row r="127" spans="2:10" x14ac:dyDescent="0.25">
      <c r="B127" s="2">
        <f t="shared" si="31"/>
        <v>121</v>
      </c>
      <c r="C127" s="2">
        <f t="shared" ca="1" si="20"/>
        <v>33</v>
      </c>
      <c r="D127" s="2" t="str">
        <f t="shared" ca="1" si="21"/>
        <v>Payment</v>
      </c>
      <c r="E127" s="2">
        <f t="shared" ca="1" si="22"/>
        <v>3</v>
      </c>
      <c r="F127" s="3">
        <f t="shared" ca="1" si="33"/>
        <v>634</v>
      </c>
      <c r="G127" s="2" t="str">
        <f t="shared" ca="1" si="34"/>
        <v>Loan</v>
      </c>
      <c r="H127" s="2">
        <f t="shared" ca="1" si="23"/>
        <v>3</v>
      </c>
      <c r="I127" s="10"/>
      <c r="J127" s="10"/>
    </row>
    <row r="128" spans="2:10" x14ac:dyDescent="0.25">
      <c r="B128" s="2">
        <f t="shared" si="31"/>
        <v>122</v>
      </c>
      <c r="C128" s="2">
        <f t="shared" ca="1" si="20"/>
        <v>21</v>
      </c>
      <c r="D128" s="2" t="str">
        <f t="shared" ca="1" si="21"/>
        <v>Deposit</v>
      </c>
      <c r="E128" s="2">
        <f t="shared" ca="1" si="22"/>
        <v>1</v>
      </c>
      <c r="F128" s="3">
        <f t="shared" ca="1" si="33"/>
        <v>11236.471190728986</v>
      </c>
      <c r="G128" s="2" t="str">
        <f t="shared" ca="1" si="34"/>
        <v>Savings</v>
      </c>
      <c r="H128" s="2">
        <f t="shared" ca="1" si="23"/>
        <v>2</v>
      </c>
      <c r="I128" s="10"/>
      <c r="J128" s="10"/>
    </row>
  </sheetData>
  <mergeCells count="3">
    <mergeCell ref="B5:H5"/>
    <mergeCell ref="M5:N5"/>
    <mergeCell ref="O5:R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I7" sqref="I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21">
          <controlPr defaultSize="0" autoLine="0" r:id="rId4">
            <anchor moveWithCells="1">
              <from>
                <xdr:col>4</xdr:col>
                <xdr:colOff>285750</xdr:colOff>
                <xdr:row>8</xdr:row>
                <xdr:rowOff>161925</xdr:rowOff>
              </from>
              <to>
                <xdr:col>6</xdr:col>
                <xdr:colOff>476250</xdr:colOff>
                <xdr:row>12</xdr:row>
                <xdr:rowOff>38100</xdr:rowOff>
              </to>
            </anchor>
          </controlPr>
        </control>
      </mc:Choice>
      <mc:Fallback>
        <control shapeId="2049" r:id="rId3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Transactions</vt:lpstr>
      <vt:lpstr>Balances</vt:lpstr>
      <vt:lpstr>Transaction Log</vt:lpstr>
      <vt:lpstr>DataGen</vt:lpstr>
      <vt:lpstr>Sheet3</vt:lpstr>
    </vt:vector>
  </TitlesOfParts>
  <Company>Credit Union of Texas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sing358</dc:creator>
  <cp:lastModifiedBy>sing358</cp:lastModifiedBy>
  <dcterms:created xsi:type="dcterms:W3CDTF">2017-05-30T16:59:59Z</dcterms:created>
  <dcterms:modified xsi:type="dcterms:W3CDTF">2017-06-14T19:57:43Z</dcterms:modified>
</cp:coreProperties>
</file>